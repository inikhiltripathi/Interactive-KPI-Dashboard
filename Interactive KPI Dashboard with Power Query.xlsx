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Downloads\"/>
    </mc:Choice>
  </mc:AlternateContent>
  <xr:revisionPtr revIDLastSave="0" documentId="13_ncr:1_{266F1A2A-5255-4326-BB1F-E459E58399E5}" xr6:coauthVersionLast="47" xr6:coauthVersionMax="47" xr10:uidLastSave="{00000000-0000-0000-0000-000000000000}"/>
  <bookViews>
    <workbookView xWindow="-110" yWindow="-110" windowWidth="19420" windowHeight="10300" activeTab="1" xr2:uid="{11E3979D-1A55-4529-8930-C132B453A80D}"/>
  </bookViews>
  <sheets>
    <sheet name="Home" sheetId="9" r:id="rId1"/>
    <sheet name="Overview" sheetId="7" r:id="rId2"/>
    <sheet name="Deep Dive" sheetId="8" r:id="rId3"/>
  </sheets>
  <definedNames>
    <definedName name="_xlcn.WorksheetConnection_Book1Regions1" hidden="1">Regions</definedName>
    <definedName name="Slicer_Category">#N/A</definedName>
    <definedName name="Slicer_Region">#N/A</definedName>
    <definedName name="Slicer_Segment">#N/A</definedName>
    <definedName name="Slicer_Year">#N/A</definedName>
  </definedNames>
  <calcPr calcId="181029"/>
  <pivotCaches>
    <pivotCache cacheId="184" r:id="rId4"/>
  </pivotCaches>
  <extLst>
    <ext xmlns:x14="http://schemas.microsoft.com/office/spreadsheetml/2009/9/main" uri="{876F7934-8845-4945-9796-88D515C7AA90}">
      <x14:pivotCaches>
        <pivotCache cacheId="241" r:id="rId5"/>
      </x14:pivotCaches>
    </ex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841E416B-1EF1-43b6-AB56-02D37102CBD5}">
      <x15:pivotCaches>
        <pivotCache cacheId="588" r:id="rId10"/>
        <pivotCache cacheId="591" r:id="rId11"/>
        <pivotCache cacheId="594" r:id="rId12"/>
        <pivotCache cacheId="597" r:id="rId13"/>
        <pivotCache cacheId="600" r:id="rId14"/>
        <pivotCache cacheId="603" r:id="rId15"/>
        <pivotCache cacheId="606" r:id="rId16"/>
      </x15:pivotCaches>
    </ext>
    <ext xmlns:x15="http://schemas.microsoft.com/office/spreadsheetml/2010/11/main" uri="{983426D0-5260-488c-9760-48F4B6AC55F4}">
      <x15:pivotTableReferences>
        <x15:pivotTableReference r:id="rId17"/>
        <x15:pivotTableReference r:id="rId18"/>
        <x15:pivotTableReference r:id="rId19"/>
        <x15:pivotTableReference r:id="rId20"/>
        <x15:pivotTableReference r:id="rId21"/>
        <x15:pivotTableReference r:id="rId22"/>
        <x15:pivotTableReference r:id="rId23"/>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932994f0-912d-4056-80f0-29a286a27a94" name="Customers" connection="Query - Customers"/>
          <x15:modelTable id="Products_35e7efe8-6bb3-4aa7-88b7-e79a2927d787" name="Products" connection="Query - Products"/>
          <x15:modelTable id="Sales_Raw_7de02709-7d86-45e0-8981-a7932edff494" name="Sales_Raw" connection="Query - Sales_Raw"/>
          <x15:modelTable id="Targets_Monthly_de7c6378-e4fb-4320-a3cb-afaeabcd2a5a" name="Targets_Monthly" connection="Query - Targets_Monthly"/>
          <x15:modelTable id="Regions" name="Regions" connection="WorksheetConnection_Book1!Regions"/>
        </x15:modelTables>
        <x15:modelRelationships>
          <x15:modelRelationship fromTable="Sales_Raw" fromColumn="ProductID" toTable="Products" toColumn="ProductID"/>
          <x15:modelRelationship fromTable="Sales_Raw" fromColumn="CustomerID" toTable="Customers" toColumn="CustomerID"/>
          <x15:modelRelationship fromTable="Sales_Raw" fromColumn="Region_raw" toTable="Regions" toColumn="Region"/>
          <x15:modelRelationship fromTable="Targets_Monthly" fromColumn="Region" toTable="Regions" toColumn="Region"/>
        </x15:modelRelationships>
        <x15:extLst>
          <ext xmlns:x16="http://schemas.microsoft.com/office/spreadsheetml/2014/11/main" uri="{9835A34E-60A6-4A7C-AAB8-D5F71C897F49}">
            <x16:modelTimeGroupings>
              <x16:modelTimeGrouping tableName="Sales_Raw"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Lst>
</workbook>
</file>

<file path=xl/calcChain.xml><?xml version="1.0" encoding="utf-8"?>
<calcChain xmlns="http://schemas.openxmlformats.org/spreadsheetml/2006/main">
  <c r="M4" i="7" l="1"/>
  <c r="J4" i="7"/>
  <c r="G4" i="7"/>
  <c r="D4" i="7"/>
  <c r="A4"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D86C44-66D3-4240-BD51-B6C67884B0F1}" name="Query - Customers" description="Connection to the 'Customers' query in the workbook." type="100" refreshedVersion="8" minRefreshableVersion="5">
    <extLst>
      <ext xmlns:x15="http://schemas.microsoft.com/office/spreadsheetml/2010/11/main" uri="{DE250136-89BD-433C-8126-D09CA5730AF9}">
        <x15:connection id="0f4f0683-73f2-41e1-94d0-62ab6ef9c9ce">
          <x15:oledbPr connection="Provider=Microsoft.Mashup.OleDb.1;Data Source=$Workbook$;Location=Customers;Extended Properties=&quot;&quot;">
            <x15:dbTables>
              <x15:dbTable name="Customers"/>
            </x15:dbTables>
          </x15:oledbPr>
        </x15:connection>
      </ext>
    </extLst>
  </connection>
  <connection id="2" xr16:uid="{963D656C-609B-4BB1-BD7C-2ACE5F7AA810}" name="Query - Products" description="Connection to the 'Products' query in the workbook." type="100" refreshedVersion="8" minRefreshableVersion="5">
    <extLst>
      <ext xmlns:x15="http://schemas.microsoft.com/office/spreadsheetml/2010/11/main" uri="{DE250136-89BD-433C-8126-D09CA5730AF9}">
        <x15:connection id="9fffd219-f7bf-4b51-b0e8-d673b0c116f4">
          <x15:oledbPr connection="Provider=Microsoft.Mashup.OleDb.1;Data Source=$Workbook$;Location=Products;Extended Properties=&quot;&quot;">
            <x15:dbTables>
              <x15:dbTable name="Products"/>
            </x15:dbTables>
          </x15:oledbPr>
        </x15:connection>
      </ext>
    </extLst>
  </connection>
  <connection id="3" xr16:uid="{2B32CDE1-5972-4A98-AF13-2528455EFF29}" name="Query - Sales_Raw" description="Connection to the 'Sales_Raw' query in the workbook." type="100" refreshedVersion="8" minRefreshableVersion="5">
    <extLst>
      <ext xmlns:x15="http://schemas.microsoft.com/office/spreadsheetml/2010/11/main" uri="{DE250136-89BD-433C-8126-D09CA5730AF9}">
        <x15:connection id="216781e6-93d2-4ab3-a488-87db0992d1e9"/>
      </ext>
    </extLst>
  </connection>
  <connection id="4" xr16:uid="{1DA37F4D-9360-4BED-AE4A-51A1BC76F1AA}" name="Query - Targets_Monthly" description="Connection to the 'Targets_Monthly' query in the workbook." type="100" refreshedVersion="8" minRefreshableVersion="5">
    <extLst>
      <ext xmlns:x15="http://schemas.microsoft.com/office/spreadsheetml/2010/11/main" uri="{DE250136-89BD-433C-8126-D09CA5730AF9}">
        <x15:connection id="47e05cb6-002f-429d-bda6-0c833b210187">
          <x15:oledbPr connection="Provider=Microsoft.Mashup.OleDb.1;Data Source=$Workbook$;Location=Targets_Monthly;Extended Properties=&quot;&quot;">
            <x15:dbTables>
              <x15:dbTable name="Targets_Monthly"/>
            </x15:dbTables>
          </x15:oledbPr>
        </x15:connection>
      </ext>
    </extLst>
  </connection>
  <connection id="5" xr16:uid="{6273CA94-F3FD-4FE8-A5A2-738AAB58B02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BD49564D-190E-430B-A381-C79B5D7EC163}" name="WorksheetConnection_Book1!Regions" type="102" refreshedVersion="8" minRefreshableVersion="5">
    <extLst>
      <ext xmlns:x15="http://schemas.microsoft.com/office/spreadsheetml/2010/11/main" uri="{DE250136-89BD-433C-8126-D09CA5730AF9}">
        <x15:connection id="Regions">
          <x15:rangePr sourceName="_xlcn.WorksheetConnection_Book1Regions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Measures].[Total Revenue]"/>
    <s v="[Measures].[Total Profit]"/>
    <s v="[Measures].[Total Orders]"/>
    <s v="[Measures].[AOV]"/>
    <s v="[Measures].[Pct of Target Achieved]"/>
  </metadataStrings>
  <mdxMetadata count="5">
    <mdx n="0" f="v">
      <t c="1" fi="0">
        <n x="1"/>
      </t>
    </mdx>
    <mdx n="0" f="v">
      <t c="1" fi="0">
        <n x="2"/>
      </t>
    </mdx>
    <mdx n="0" f="v">
      <t c="1" fi="0">
        <n x="3"/>
      </t>
    </mdx>
    <mdx n="0" f="v">
      <t c="1" fi="0">
        <n x="4"/>
      </t>
    </mdx>
    <mdx n="0" f="v">
      <t c="1" fi="0">
        <n x="5"/>
      </t>
    </mdx>
  </mdxMetadata>
  <valueMetadata count="5">
    <bk>
      <rc t="1" v="0"/>
    </bk>
    <bk>
      <rc t="1" v="1"/>
    </bk>
    <bk>
      <rc t="1" v="2"/>
    </bk>
    <bk>
      <rc t="1" v="3"/>
    </bk>
    <bk>
      <rc t="1" v="4"/>
    </bk>
  </valueMetadata>
</metadata>
</file>

<file path=xl/sharedStrings.xml><?xml version="1.0" encoding="utf-8"?>
<sst xmlns="http://schemas.openxmlformats.org/spreadsheetml/2006/main" count="8" uniqueCount="8">
  <si>
    <t>Total Revenue</t>
  </si>
  <si>
    <t>Total Orders</t>
  </si>
  <si>
    <t>Total Profit</t>
  </si>
  <si>
    <t>AOV</t>
  </si>
  <si>
    <t>% of Target Achieved</t>
  </si>
  <si>
    <t>E-commerce Sales KPI Dashboard</t>
  </si>
  <si>
    <t>Interactive sales performance dashboard built with Power Query, Power Pivot &amp; DAX</t>
  </si>
  <si>
    <t>By Nikhil Tripathi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</si>
</sst>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5" x14ac:knownFonts="1">
    <font>
      <sz val="11"/>
      <color theme="1"/>
      <name val="Calibri"/>
      <family val="2"/>
      <scheme val="minor"/>
    </font>
    <font>
      <b/>
      <sz val="11"/>
      <color theme="1"/>
      <name val="Calibri"/>
      <family val="2"/>
      <scheme val="minor"/>
    </font>
    <font>
      <b/>
      <sz val="12"/>
      <color theme="1"/>
      <name val="Calibri"/>
      <family val="2"/>
      <scheme val="minor"/>
    </font>
    <font>
      <b/>
      <sz val="22"/>
      <color theme="0"/>
      <name val="Calibri"/>
      <family val="2"/>
      <scheme val="minor"/>
    </font>
    <font>
      <b/>
      <sz val="12"/>
      <color theme="0"/>
      <name val="Calibri"/>
      <family val="2"/>
      <scheme val="minor"/>
    </font>
  </fonts>
  <fills count="8">
    <fill>
      <patternFill patternType="none"/>
    </fill>
    <fill>
      <patternFill patternType="gray125"/>
    </fill>
    <fill>
      <patternFill patternType="solid">
        <fgColor theme="5" tint="0.39997558519241921"/>
        <bgColor indexed="64"/>
      </patternFill>
    </fill>
    <fill>
      <patternFill patternType="solid">
        <fgColor theme="5" tint="0.59999389629810485"/>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7">
    <xf numFmtId="0" fontId="0" fillId="0" borderId="0" xfId="0"/>
    <xf numFmtId="0" fontId="1" fillId="2" borderId="1" xfId="0" applyFont="1"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0" xfId="0" applyFill="1" applyAlignment="1">
      <alignment horizontal="center" vertical="center"/>
    </xf>
    <xf numFmtId="0" fontId="0" fillId="2" borderId="5" xfId="0" applyFill="1" applyBorder="1" applyAlignment="1">
      <alignment horizontal="center" vertical="center"/>
    </xf>
    <xf numFmtId="164" fontId="0" fillId="3" borderId="4" xfId="0" applyNumberFormat="1" applyFill="1" applyBorder="1" applyAlignment="1">
      <alignment horizontal="center" vertical="center"/>
    </xf>
    <xf numFmtId="164" fontId="0" fillId="3" borderId="0" xfId="0" applyNumberFormat="1" applyFill="1" applyAlignment="1">
      <alignment horizontal="center" vertical="center"/>
    </xf>
    <xf numFmtId="164" fontId="0" fillId="3" borderId="5" xfId="0" applyNumberFormat="1" applyFill="1" applyBorder="1" applyAlignment="1">
      <alignment horizontal="center" vertical="center"/>
    </xf>
    <xf numFmtId="164" fontId="0" fillId="3" borderId="6" xfId="0" applyNumberFormat="1" applyFill="1" applyBorder="1" applyAlignment="1">
      <alignment horizontal="center" vertical="center"/>
    </xf>
    <xf numFmtId="164" fontId="0" fillId="3" borderId="7" xfId="0" applyNumberFormat="1" applyFill="1" applyBorder="1" applyAlignment="1">
      <alignment horizontal="center" vertical="center"/>
    </xf>
    <xf numFmtId="164" fontId="0" fillId="3" borderId="8" xfId="0" applyNumberFormat="1" applyFill="1" applyBorder="1" applyAlignment="1">
      <alignment horizontal="center" vertical="center"/>
    </xf>
    <xf numFmtId="0" fontId="1" fillId="4" borderId="1" xfId="0" applyFont="1" applyFill="1" applyBorder="1" applyAlignment="1">
      <alignment horizontal="center" vertical="center"/>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4" xfId="0" applyFill="1" applyBorder="1" applyAlignment="1">
      <alignment horizontal="center" vertical="center"/>
    </xf>
    <xf numFmtId="0" fontId="0" fillId="4" borderId="0" xfId="0" applyFill="1" applyAlignment="1">
      <alignment horizontal="center" vertical="center"/>
    </xf>
    <xf numFmtId="0" fontId="0" fillId="4" borderId="5" xfId="0" applyFill="1" applyBorder="1" applyAlignment="1">
      <alignment horizontal="center" vertical="center"/>
    </xf>
    <xf numFmtId="164" fontId="0" fillId="5" borderId="4" xfId="0" applyNumberFormat="1" applyFill="1" applyBorder="1" applyAlignment="1">
      <alignment horizontal="center" vertical="center"/>
    </xf>
    <xf numFmtId="164" fontId="0" fillId="5" borderId="0" xfId="0" applyNumberFormat="1" applyFill="1" applyAlignment="1">
      <alignment horizontal="center" vertical="center"/>
    </xf>
    <xf numFmtId="164" fontId="0" fillId="5" borderId="5" xfId="0" applyNumberFormat="1" applyFill="1" applyBorder="1" applyAlignment="1">
      <alignment horizontal="center" vertical="center"/>
    </xf>
    <xf numFmtId="164" fontId="0" fillId="5" borderId="6" xfId="0" applyNumberFormat="1" applyFill="1" applyBorder="1" applyAlignment="1">
      <alignment horizontal="center" vertical="center"/>
    </xf>
    <xf numFmtId="164" fontId="0" fillId="5" borderId="7" xfId="0" applyNumberFormat="1" applyFill="1" applyBorder="1" applyAlignment="1">
      <alignment horizontal="center" vertical="center"/>
    </xf>
    <xf numFmtId="164" fontId="0" fillId="5" borderId="8" xfId="0" applyNumberFormat="1" applyFill="1" applyBorder="1" applyAlignment="1">
      <alignment horizontal="center" vertical="center"/>
    </xf>
    <xf numFmtId="2" fontId="0" fillId="5" borderId="4" xfId="0" applyNumberFormat="1" applyFill="1" applyBorder="1" applyAlignment="1">
      <alignment horizontal="center" vertical="center"/>
    </xf>
    <xf numFmtId="2" fontId="0" fillId="5" borderId="0" xfId="0" applyNumberFormat="1" applyFill="1" applyAlignment="1">
      <alignment horizontal="center" vertical="center"/>
    </xf>
    <xf numFmtId="2" fontId="0" fillId="5" borderId="5" xfId="0" applyNumberFormat="1" applyFill="1" applyBorder="1" applyAlignment="1">
      <alignment horizontal="center" vertical="center"/>
    </xf>
    <xf numFmtId="2" fontId="0" fillId="5" borderId="6" xfId="0" applyNumberFormat="1" applyFill="1" applyBorder="1" applyAlignment="1">
      <alignment horizontal="center" vertical="center"/>
    </xf>
    <xf numFmtId="2" fontId="0" fillId="5" borderId="7" xfId="0" applyNumberFormat="1" applyFill="1" applyBorder="1" applyAlignment="1">
      <alignment horizontal="center" vertical="center"/>
    </xf>
    <xf numFmtId="2" fontId="0" fillId="5" borderId="8" xfId="0" applyNumberFormat="1" applyFill="1" applyBorder="1" applyAlignment="1">
      <alignment horizontal="center" vertical="center"/>
    </xf>
    <xf numFmtId="2" fontId="0" fillId="3" borderId="4" xfId="0" applyNumberFormat="1" applyFill="1" applyBorder="1" applyAlignment="1">
      <alignment horizontal="center" vertical="center"/>
    </xf>
    <xf numFmtId="2" fontId="0" fillId="3" borderId="0" xfId="0" applyNumberFormat="1" applyFill="1" applyAlignment="1">
      <alignment horizontal="center" vertical="center"/>
    </xf>
    <xf numFmtId="2" fontId="0" fillId="3" borderId="5" xfId="0" applyNumberFormat="1" applyFill="1" applyBorder="1" applyAlignment="1">
      <alignment horizontal="center" vertical="center"/>
    </xf>
    <xf numFmtId="2" fontId="0" fillId="3" borderId="6" xfId="0" applyNumberFormat="1" applyFill="1" applyBorder="1" applyAlignment="1">
      <alignment horizontal="center" vertical="center"/>
    </xf>
    <xf numFmtId="2" fontId="0" fillId="3" borderId="7" xfId="0" applyNumberFormat="1" applyFill="1" applyBorder="1" applyAlignment="1">
      <alignment horizontal="center" vertical="center"/>
    </xf>
    <xf numFmtId="2" fontId="0" fillId="3" borderId="8" xfId="0" applyNumberFormat="1" applyFill="1" applyBorder="1" applyAlignment="1">
      <alignment horizontal="center" vertical="center"/>
    </xf>
    <xf numFmtId="10" fontId="0" fillId="5" borderId="4" xfId="0" applyNumberFormat="1" applyFill="1" applyBorder="1" applyAlignment="1">
      <alignment horizontal="center" vertical="center"/>
    </xf>
    <xf numFmtId="10" fontId="0" fillId="5" borderId="0" xfId="0" applyNumberFormat="1" applyFill="1" applyAlignment="1">
      <alignment horizontal="center" vertical="center"/>
    </xf>
    <xf numFmtId="10" fontId="0" fillId="5" borderId="5" xfId="0" applyNumberFormat="1" applyFill="1" applyBorder="1" applyAlignment="1">
      <alignment horizontal="center" vertical="center"/>
    </xf>
    <xf numFmtId="10" fontId="0" fillId="5" borderId="6" xfId="0" applyNumberFormat="1" applyFill="1" applyBorder="1" applyAlignment="1">
      <alignment horizontal="center" vertical="center"/>
    </xf>
    <xf numFmtId="10" fontId="0" fillId="5" borderId="7" xfId="0" applyNumberFormat="1" applyFill="1" applyBorder="1" applyAlignment="1">
      <alignment horizontal="center" vertical="center"/>
    </xf>
    <xf numFmtId="10" fontId="0" fillId="5" borderId="8" xfId="0" applyNumberFormat="1" applyFill="1" applyBorder="1" applyAlignment="1">
      <alignment horizontal="center" vertical="center"/>
    </xf>
    <xf numFmtId="0" fontId="2" fillId="4" borderId="0" xfId="0" applyFont="1" applyFill="1" applyAlignment="1">
      <alignment horizontal="center" vertical="center"/>
    </xf>
    <xf numFmtId="0" fontId="3" fillId="7" borderId="0" xfId="0" applyFont="1" applyFill="1" applyAlignment="1">
      <alignment horizontal="center" vertical="center"/>
    </xf>
    <xf numFmtId="0" fontId="4" fillId="6" borderId="0" xfId="0" applyFont="1" applyFill="1" applyAlignment="1">
      <alignment horizontal="center" vertical="center"/>
    </xf>
    <xf numFmtId="0" fontId="0" fillId="5" borderId="0" xfId="0" applyFill="1" applyAlignment="1">
      <alignment horizontal="center"/>
    </xf>
  </cellXfs>
  <cellStyles count="1">
    <cellStyle name="Normal" xfId="0" builtinId="0"/>
  </cellStyles>
  <dxfs count="0"/>
  <tableStyles count="0" defaultTableStyle="TableStyleMedium2" defaultPivotStyle="PivotStyleLight16"/>
  <colors>
    <mruColors>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ThisWorkbookDataModel">
      <tp t="e">
        <v>#N/A</v>
        <stp>1</stp>
        <tr r="A4" s="7"/>
        <tr r="J4" s="7"/>
        <tr r="M4" s="7"/>
        <tr r="D4" s="7"/>
        <tr r="G4" s="7"/>
      </tp>
    </main>
  </volType>
</volTypes>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Table" Target="pivotTables/pivotTable2.xml"/><Relationship Id="rId26" Type="http://schemas.openxmlformats.org/officeDocument/2006/relationships/styles" Target="styles.xml"/><Relationship Id="rId39" Type="http://schemas.openxmlformats.org/officeDocument/2006/relationships/customXml" Target="../customXml/item9.xml"/><Relationship Id="rId21" Type="http://schemas.openxmlformats.org/officeDocument/2006/relationships/pivotTable" Target="pivotTables/pivotTable5.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7"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powerPivotData" Target="model/item.data"/><Relationship Id="rId11" Type="http://schemas.openxmlformats.org/officeDocument/2006/relationships/pivotCacheDefinition" Target="pivotCache/pivotCacheDefinition4.xml"/><Relationship Id="rId24" Type="http://schemas.openxmlformats.org/officeDocument/2006/relationships/theme" Target="theme/them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5" Type="http://schemas.openxmlformats.org/officeDocument/2006/relationships/pivotCacheDefinition" Target="pivotCache/pivotCacheDefinition2.xml"/><Relationship Id="rId61" Type="http://schemas.openxmlformats.org/officeDocument/2006/relationships/volatileDependencies" Target="volatileDependencies.xml"/><Relationship Id="rId19" Type="http://schemas.openxmlformats.org/officeDocument/2006/relationships/pivotTable" Target="pivotTables/pivotTable3.xml"/><Relationship Id="rId14" Type="http://schemas.openxmlformats.org/officeDocument/2006/relationships/pivotCacheDefinition" Target="pivotCache/pivotCacheDefinition7.xml"/><Relationship Id="rId22" Type="http://schemas.openxmlformats.org/officeDocument/2006/relationships/pivotTable" Target="pivotTables/pivotTable6.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8" Type="http://schemas.microsoft.com/office/2007/relationships/slicerCache" Target="slicerCaches/slicerCache3.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Table" Target="pivotTables/pivotTable1.xml"/><Relationship Id="rId25" Type="http://schemas.openxmlformats.org/officeDocument/2006/relationships/connections" Target="connection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20" Type="http://schemas.openxmlformats.org/officeDocument/2006/relationships/pivotTable" Target="pivotTables/pivotTable4.xml"/><Relationship Id="rId41" Type="http://schemas.openxmlformats.org/officeDocument/2006/relationships/customXml" Target="../customXml/item11.xml"/><Relationship Id="rId54" Type="http://schemas.openxmlformats.org/officeDocument/2006/relationships/customXml" Target="../customXml/item24.xml"/><Relationship Id="rId1" Type="http://schemas.openxmlformats.org/officeDocument/2006/relationships/worksheet" Target="worksheets/sheet1.xml"/><Relationship Id="rId6" Type="http://schemas.microsoft.com/office/2007/relationships/slicerCache" Target="slicerCaches/slicerCache1.xml"/><Relationship Id="rId15" Type="http://schemas.openxmlformats.org/officeDocument/2006/relationships/pivotCacheDefinition" Target="pivotCache/pivotCacheDefinition8.xml"/><Relationship Id="rId23" Type="http://schemas.openxmlformats.org/officeDocument/2006/relationships/pivotTable" Target="pivotTables/pivotTable7.xml"/><Relationship Id="rId28" Type="http://schemas.openxmlformats.org/officeDocument/2006/relationships/sheetMetadata" Target="metadata.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pivotCacheDefinition" Target="pivotCache/pivotCacheDefinition3.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 Id="rId4" Type="http://schemas.openxmlformats.org/officeDocument/2006/relationships/pivotCacheDefinition" Target="pivotCache/pivotCacheDefinition1.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Revenue Trend by Month</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24"/>
              <c:pt idx="0">
                <c:v>Jan-2024</c:v>
              </c:pt>
              <c:pt idx="1">
                <c:v>Feb-2024</c:v>
              </c:pt>
              <c:pt idx="2">
                <c:v>Mar-2024</c:v>
              </c:pt>
              <c:pt idx="3">
                <c:v>Apr-2024</c:v>
              </c:pt>
              <c:pt idx="4">
                <c:v>May-2024</c:v>
              </c:pt>
              <c:pt idx="5">
                <c:v>Jun-2024</c:v>
              </c:pt>
              <c:pt idx="6">
                <c:v>Jul-2024</c:v>
              </c:pt>
              <c:pt idx="7">
                <c:v>Aug-2024</c:v>
              </c:pt>
              <c:pt idx="8">
                <c:v>Sep-2024</c:v>
              </c:pt>
              <c:pt idx="9">
                <c:v>Oct-2024</c:v>
              </c:pt>
              <c:pt idx="10">
                <c:v>Nov-2024</c:v>
              </c:pt>
              <c:pt idx="11">
                <c:v>Dec-2024</c:v>
              </c:pt>
              <c:pt idx="12">
                <c:v>Jan-2025</c:v>
              </c:pt>
              <c:pt idx="13">
                <c:v>Feb-2025</c:v>
              </c:pt>
              <c:pt idx="14">
                <c:v>Mar-2025</c:v>
              </c:pt>
              <c:pt idx="15">
                <c:v>Apr-2025</c:v>
              </c:pt>
              <c:pt idx="16">
                <c:v>May-2025</c:v>
              </c:pt>
              <c:pt idx="17">
                <c:v>Jun-2025</c:v>
              </c:pt>
              <c:pt idx="18">
                <c:v>Jul-2025</c:v>
              </c:pt>
              <c:pt idx="19">
                <c:v>Aug-2025</c:v>
              </c:pt>
              <c:pt idx="20">
                <c:v>Sep-2025</c:v>
              </c:pt>
              <c:pt idx="21">
                <c:v>Oct-2025</c:v>
              </c:pt>
              <c:pt idx="22">
                <c:v>Nov-2025</c:v>
              </c:pt>
              <c:pt idx="23">
                <c:v>Dec-2025</c:v>
              </c:pt>
            </c:strLit>
          </c:cat>
          <c:val>
            <c:numLit>
              <c:formatCode>General</c:formatCode>
              <c:ptCount val="24"/>
              <c:pt idx="0">
                <c:v>15346.8</c:v>
              </c:pt>
              <c:pt idx="1">
                <c:v>14009.98</c:v>
              </c:pt>
              <c:pt idx="2">
                <c:v>21000.39</c:v>
              </c:pt>
              <c:pt idx="3">
                <c:v>20597.46</c:v>
              </c:pt>
              <c:pt idx="4">
                <c:v>19162.599999999999</c:v>
              </c:pt>
              <c:pt idx="5">
                <c:v>16060.48</c:v>
              </c:pt>
              <c:pt idx="6">
                <c:v>17903.689999999999</c:v>
              </c:pt>
              <c:pt idx="7">
                <c:v>16891.759999999998</c:v>
              </c:pt>
              <c:pt idx="8">
                <c:v>14961.39</c:v>
              </c:pt>
              <c:pt idx="9">
                <c:v>16700.14</c:v>
              </c:pt>
              <c:pt idx="10">
                <c:v>18600.63</c:v>
              </c:pt>
              <c:pt idx="11">
                <c:v>14464.71</c:v>
              </c:pt>
              <c:pt idx="12">
                <c:v>18713.419999999998</c:v>
              </c:pt>
              <c:pt idx="13">
                <c:v>13303.8</c:v>
              </c:pt>
              <c:pt idx="14">
                <c:v>16408.52</c:v>
              </c:pt>
              <c:pt idx="15">
                <c:v>17803.55</c:v>
              </c:pt>
              <c:pt idx="16">
                <c:v>19917.73</c:v>
              </c:pt>
              <c:pt idx="17">
                <c:v>15681.8</c:v>
              </c:pt>
              <c:pt idx="18">
                <c:v>18786.330000000002</c:v>
              </c:pt>
              <c:pt idx="19">
                <c:v>20692</c:v>
              </c:pt>
              <c:pt idx="20">
                <c:v>15697.07</c:v>
              </c:pt>
              <c:pt idx="21">
                <c:v>16668.37</c:v>
              </c:pt>
              <c:pt idx="22">
                <c:v>15609.74</c:v>
              </c:pt>
              <c:pt idx="23">
                <c:v>10638.08</c:v>
              </c:pt>
            </c:numLit>
          </c:val>
          <c:extLst>
            <c:ext xmlns:c16="http://schemas.microsoft.com/office/drawing/2014/chart" uri="{C3380CC4-5D6E-409C-BE32-E72D297353CC}">
              <c16:uniqueId val="{00000000-74E4-48D8-A80C-B950D8504C03}"/>
            </c:ext>
          </c:extLst>
        </c:ser>
        <c:dLbls>
          <c:showLegendKey val="0"/>
          <c:showVal val="0"/>
          <c:showCatName val="0"/>
          <c:showSerName val="0"/>
          <c:showPercent val="0"/>
          <c:showBubbleSize val="0"/>
        </c:dLbls>
        <c:gapWidth val="219"/>
        <c:overlap val="-27"/>
        <c:axId val="1374679839"/>
        <c:axId val="1374692319"/>
      </c:barChart>
      <c:catAx>
        <c:axId val="137467983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692319"/>
        <c:crosses val="autoZero"/>
        <c:auto val="1"/>
        <c:lblAlgn val="ctr"/>
        <c:lblOffset val="100"/>
        <c:noMultiLvlLbl val="0"/>
        <c:extLst>
          <c:ext xmlns:c15="http://schemas.microsoft.com/office/drawing/2012/chart" uri="{F40574EE-89B7-4290-83BB-5DA773EAF853}">
            <c15:numFmt c:formatCode="General" c:sourceLinked="1"/>
          </c:ext>
        </c:extLst>
      </c:catAx>
      <c:valAx>
        <c:axId val="1374692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679839"/>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[Ecommerce_Sales_KPI_Dashboard.xlsx]PivotChartTable3</c15:name>
        <c15:fmtId val="0"/>
      </c15:pivotSource>
      <c15:pivotOptions>
        <c15:dropZoneFilter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Revenue by Category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086391292796409"/>
          <c:y val="0.17004640651821154"/>
          <c:w val="0.6643927773770758"/>
          <c:h val="0.72359656833635067"/>
        </c:manualLayout>
      </c:layout>
      <c:barChart>
        <c:barDir val="bar"/>
        <c:grouping val="clustered"/>
        <c:varyColors val="0"/>
        <c:ser>
          <c:idx val="0"/>
          <c:order val="0"/>
          <c:tx>
            <c:v>Total</c:v>
          </c:tx>
          <c:spPr>
            <a:solidFill>
              <a:schemeClr val="accent1"/>
            </a:solidFill>
            <a:ln>
              <a:noFill/>
            </a:ln>
            <a:effectLst/>
          </c:spPr>
          <c:invertIfNegative val="0"/>
          <c:cat>
            <c:strLit>
              <c:ptCount val="6"/>
              <c:pt idx="0">
                <c:v>Beauty &amp; Personal Care</c:v>
              </c:pt>
              <c:pt idx="1">
                <c:v>Books &amp; Stationery</c:v>
              </c:pt>
              <c:pt idx="2">
                <c:v>Sports &amp; Fitness</c:v>
              </c:pt>
              <c:pt idx="3">
                <c:v>Electronics</c:v>
              </c:pt>
              <c:pt idx="4">
                <c:v>Home &amp; Kitchen</c:v>
              </c:pt>
              <c:pt idx="5">
                <c:v>Fashion</c:v>
              </c:pt>
            </c:strLit>
          </c:cat>
          <c:val>
            <c:numLit>
              <c:formatCode>General</c:formatCode>
              <c:ptCount val="6"/>
              <c:pt idx="0">
                <c:v>46717.46</c:v>
              </c:pt>
              <c:pt idx="1">
                <c:v>55825.07</c:v>
              </c:pt>
              <c:pt idx="2">
                <c:v>57549.99</c:v>
              </c:pt>
              <c:pt idx="3">
                <c:v>60875.32</c:v>
              </c:pt>
              <c:pt idx="4">
                <c:v>89271.28</c:v>
              </c:pt>
              <c:pt idx="5">
                <c:v>95381.32</c:v>
              </c:pt>
            </c:numLit>
          </c:val>
          <c:extLst>
            <c:ext xmlns:c16="http://schemas.microsoft.com/office/drawing/2014/chart" uri="{C3380CC4-5D6E-409C-BE32-E72D297353CC}">
              <c16:uniqueId val="{00000000-F159-458B-9BFD-F827492EA0D3}"/>
            </c:ext>
          </c:extLst>
        </c:ser>
        <c:dLbls>
          <c:showLegendKey val="0"/>
          <c:showVal val="0"/>
          <c:showCatName val="0"/>
          <c:showSerName val="0"/>
          <c:showPercent val="0"/>
          <c:showBubbleSize val="0"/>
        </c:dLbls>
        <c:gapWidth val="219"/>
        <c:axId val="51243535"/>
        <c:axId val="51244495"/>
      </c:barChart>
      <c:catAx>
        <c:axId val="51243535"/>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44495"/>
        <c:crosses val="autoZero"/>
        <c:auto val="1"/>
        <c:lblAlgn val="ctr"/>
        <c:lblOffset val="100"/>
        <c:noMultiLvlLbl val="0"/>
        <c:extLst>
          <c:ext xmlns:c15="http://schemas.microsoft.com/office/drawing/2012/chart" uri="{F40574EE-89B7-4290-83BB-5DA773EAF853}">
            <c15:numFmt c:formatCode="General" c:sourceLinked="1"/>
          </c:ext>
        </c:extLst>
      </c:catAx>
      <c:valAx>
        <c:axId val="51244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43535"/>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[Ecommerce_Sales_KPI_Dashboard.xlsx]PivotChartTable6</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Revenue by Region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
              <c:pt idx="0">
                <c:v>Central</c:v>
              </c:pt>
              <c:pt idx="1">
                <c:v>East</c:v>
              </c:pt>
              <c:pt idx="2">
                <c:v>North</c:v>
              </c:pt>
              <c:pt idx="3">
                <c:v>South</c:v>
              </c:pt>
              <c:pt idx="4">
                <c:v>West</c:v>
              </c:pt>
            </c:strLit>
          </c:cat>
          <c:val>
            <c:numLit>
              <c:formatCode>General</c:formatCode>
              <c:ptCount val="5"/>
              <c:pt idx="0">
                <c:v>88298.08</c:v>
              </c:pt>
              <c:pt idx="1">
                <c:v>94837.47</c:v>
              </c:pt>
              <c:pt idx="2">
                <c:v>66340.639999999999</c:v>
              </c:pt>
              <c:pt idx="3">
                <c:v>76056.47</c:v>
              </c:pt>
              <c:pt idx="4">
                <c:v>80087.78</c:v>
              </c:pt>
            </c:numLit>
          </c:val>
          <c:extLst>
            <c:ext xmlns:c16="http://schemas.microsoft.com/office/drawing/2014/chart" uri="{C3380CC4-5D6E-409C-BE32-E72D297353CC}">
              <c16:uniqueId val="{00000000-634A-487E-AB61-8FEB77896115}"/>
            </c:ext>
          </c:extLst>
        </c:ser>
        <c:dLbls>
          <c:showLegendKey val="0"/>
          <c:showVal val="0"/>
          <c:showCatName val="0"/>
          <c:showSerName val="0"/>
          <c:showPercent val="0"/>
          <c:showBubbleSize val="0"/>
        </c:dLbls>
        <c:gapWidth val="219"/>
        <c:overlap val="-27"/>
        <c:axId val="51237295"/>
        <c:axId val="51248335"/>
      </c:barChart>
      <c:catAx>
        <c:axId val="5123729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48335"/>
        <c:crosses val="autoZero"/>
        <c:auto val="1"/>
        <c:lblAlgn val="ctr"/>
        <c:lblOffset val="100"/>
        <c:noMultiLvlLbl val="0"/>
        <c:extLst>
          <c:ext xmlns:c15="http://schemas.microsoft.com/office/drawing/2012/chart" uri="{F40574EE-89B7-4290-83BB-5DA773EAF853}">
            <c15:numFmt c:formatCode="General" c:sourceLinked="1"/>
          </c:ext>
        </c:extLst>
      </c:catAx>
      <c:valAx>
        <c:axId val="51248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37295"/>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[Ecommerce_Sales_KPI_Dashboard.xlsx]PivotChartTable7</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Top 10 Products by Revenue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Lipstick Basic</c:v>
              </c:pt>
              <c:pt idx="1">
                <c:v>Backpack Pro</c:v>
              </c:pt>
              <c:pt idx="2">
                <c:v>Planner Max</c:v>
              </c:pt>
              <c:pt idx="3">
                <c:v>Skipping Rope Basic</c:v>
              </c:pt>
              <c:pt idx="4">
                <c:v>Water Bottle Plus</c:v>
              </c:pt>
              <c:pt idx="5">
                <c:v>Non-stick Pan Plus</c:v>
              </c:pt>
              <c:pt idx="6">
                <c:v>Skipping Rope Pro</c:v>
              </c:pt>
              <c:pt idx="7">
                <c:v>Sneakers Pro</c:v>
              </c:pt>
              <c:pt idx="8">
                <c:v>Trimmer Pro</c:v>
              </c:pt>
              <c:pt idx="9">
                <c:v>Cap Plus</c:v>
              </c:pt>
            </c:strLit>
          </c:cat>
          <c:val>
            <c:numLit>
              <c:formatCode>General</c:formatCode>
              <c:ptCount val="10"/>
              <c:pt idx="0">
                <c:v>6817.58</c:v>
              </c:pt>
              <c:pt idx="1">
                <c:v>6878.43</c:v>
              </c:pt>
              <c:pt idx="2">
                <c:v>7325.78</c:v>
              </c:pt>
              <c:pt idx="3">
                <c:v>7720.69</c:v>
              </c:pt>
              <c:pt idx="4">
                <c:v>7732.36</c:v>
              </c:pt>
              <c:pt idx="5">
                <c:v>7990.48</c:v>
              </c:pt>
              <c:pt idx="6">
                <c:v>8002.77</c:v>
              </c:pt>
              <c:pt idx="7">
                <c:v>8269.8700000000008</c:v>
              </c:pt>
              <c:pt idx="8">
                <c:v>9705.51</c:v>
              </c:pt>
              <c:pt idx="9">
                <c:v>12535.19</c:v>
              </c:pt>
            </c:numLit>
          </c:val>
          <c:extLst>
            <c:ext xmlns:c16="http://schemas.microsoft.com/office/drawing/2014/chart" uri="{C3380CC4-5D6E-409C-BE32-E72D297353CC}">
              <c16:uniqueId val="{00000000-C67B-4403-9AFA-C4D459460881}"/>
            </c:ext>
          </c:extLst>
        </c:ser>
        <c:dLbls>
          <c:showLegendKey val="0"/>
          <c:showVal val="0"/>
          <c:showCatName val="0"/>
          <c:showSerName val="0"/>
          <c:showPercent val="0"/>
          <c:showBubbleSize val="0"/>
        </c:dLbls>
        <c:gapWidth val="219"/>
        <c:axId val="51207535"/>
        <c:axId val="51196495"/>
      </c:barChart>
      <c:catAx>
        <c:axId val="51207535"/>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96495"/>
        <c:crosses val="autoZero"/>
        <c:auto val="1"/>
        <c:lblAlgn val="ctr"/>
        <c:lblOffset val="100"/>
        <c:noMultiLvlLbl val="0"/>
        <c:extLst>
          <c:ext xmlns:c15="http://schemas.microsoft.com/office/drawing/2012/chart" uri="{F40574EE-89B7-4290-83BB-5DA773EAF853}">
            <c15:numFmt c:formatCode="General" c:sourceLinked="1"/>
          </c:ext>
        </c:extLst>
      </c:catAx>
      <c:valAx>
        <c:axId val="51196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07535"/>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[Ecommerce_Sales_KPI_Dashboard.xlsx]PivotChartTable8</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Orders by Status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v>Total</c:v>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Cancelled</c:v>
              </c:pt>
              <c:pt idx="1">
                <c:v>Delivered</c:v>
              </c:pt>
              <c:pt idx="2">
                <c:v>Pending</c:v>
              </c:pt>
              <c:pt idx="3">
                <c:v>Returned</c:v>
              </c:pt>
            </c:strLit>
          </c:cat>
          <c:val>
            <c:numLit>
              <c:formatCode>General</c:formatCode>
              <c:ptCount val="4"/>
              <c:pt idx="0">
                <c:v>379</c:v>
              </c:pt>
              <c:pt idx="1">
                <c:v>1457</c:v>
              </c:pt>
              <c:pt idx="2">
                <c:v>372</c:v>
              </c:pt>
              <c:pt idx="3">
                <c:v>392</c:v>
              </c:pt>
            </c:numLit>
          </c:val>
          <c:extLst>
            <c:ext xmlns:c16="http://schemas.microsoft.com/office/drawing/2014/chart" uri="{C3380CC4-5D6E-409C-BE32-E72D297353CC}">
              <c16:uniqueId val="{00000000-3542-4B6A-87AA-0D320A98EB0D}"/>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[Ecommerce_Sales_KPI_Dashboard.xlsx]PivotChartTable9</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Revenue by Customer Segment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3"/>
              <c:pt idx="0">
                <c:v>New</c:v>
              </c:pt>
              <c:pt idx="1">
                <c:v>Premium</c:v>
              </c:pt>
              <c:pt idx="2">
                <c:v>Regular</c:v>
              </c:pt>
            </c:strLit>
          </c:cat>
          <c:val>
            <c:numLit>
              <c:formatCode>General</c:formatCode>
              <c:ptCount val="3"/>
              <c:pt idx="0">
                <c:v>76597.440000000002</c:v>
              </c:pt>
              <c:pt idx="1">
                <c:v>109624.07</c:v>
              </c:pt>
              <c:pt idx="2">
                <c:v>219398.93</c:v>
              </c:pt>
            </c:numLit>
          </c:val>
          <c:extLst>
            <c:ext xmlns:c16="http://schemas.microsoft.com/office/drawing/2014/chart" uri="{C3380CC4-5D6E-409C-BE32-E72D297353CC}">
              <c16:uniqueId val="{00000000-7AE9-4B7D-A609-9F3225B12A2E}"/>
            </c:ext>
          </c:extLst>
        </c:ser>
        <c:dLbls>
          <c:showLegendKey val="0"/>
          <c:showVal val="0"/>
          <c:showCatName val="0"/>
          <c:showSerName val="0"/>
          <c:showPercent val="0"/>
          <c:showBubbleSize val="0"/>
        </c:dLbls>
        <c:gapWidth val="219"/>
        <c:axId val="51250735"/>
        <c:axId val="51253615"/>
      </c:barChart>
      <c:catAx>
        <c:axId val="5125073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53615"/>
        <c:crosses val="autoZero"/>
        <c:auto val="1"/>
        <c:lblAlgn val="ctr"/>
        <c:lblOffset val="100"/>
        <c:noMultiLvlLbl val="0"/>
        <c:extLst>
          <c:ext xmlns:c15="http://schemas.microsoft.com/office/drawing/2012/chart" uri="{F40574EE-89B7-4290-83BB-5DA773EAF853}">
            <c15:numFmt c:formatCode="General" c:sourceLinked="1"/>
          </c:ext>
        </c:extLst>
      </c:catAx>
      <c:valAx>
        <c:axId val="51253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50735"/>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[Ecommerce_Sales_KPI_Dashboard.xlsx]PivotChartTable10</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Revenue &amp; Orders by Discount Level</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Revenue</c:v>
          </c:tx>
          <c:spPr>
            <a:solidFill>
              <a:schemeClr val="accent1"/>
            </a:solidFill>
            <a:ln>
              <a:noFill/>
            </a:ln>
            <a:effectLst/>
          </c:spPr>
          <c:invertIfNegative val="0"/>
          <c:cat>
            <c:strLit>
              <c:ptCount val="5"/>
              <c:pt idx="0">
                <c:v>0</c:v>
              </c:pt>
              <c:pt idx="1">
                <c:v>5</c:v>
              </c:pt>
              <c:pt idx="2">
                <c:v>10</c:v>
              </c:pt>
              <c:pt idx="3">
                <c:v>15</c:v>
              </c:pt>
              <c:pt idx="4">
                <c:v>20</c:v>
              </c:pt>
            </c:strLit>
          </c:cat>
          <c:val>
            <c:numLit>
              <c:formatCode>General</c:formatCode>
              <c:ptCount val="5"/>
              <c:pt idx="0">
                <c:v>168471.47</c:v>
              </c:pt>
              <c:pt idx="1">
                <c:v>99697.33</c:v>
              </c:pt>
              <c:pt idx="2">
                <c:v>67721.23</c:v>
              </c:pt>
              <c:pt idx="3">
                <c:v>43308.11</c:v>
              </c:pt>
              <c:pt idx="4">
                <c:v>26422.3</c:v>
              </c:pt>
            </c:numLit>
          </c:val>
          <c:extLst>
            <c:ext xmlns:c16="http://schemas.microsoft.com/office/drawing/2014/chart" uri="{C3380CC4-5D6E-409C-BE32-E72D297353CC}">
              <c16:uniqueId val="{00000000-CAF2-465E-8D5E-8D56E00DC85F}"/>
            </c:ext>
          </c:extLst>
        </c:ser>
        <c:dLbls>
          <c:showLegendKey val="0"/>
          <c:showVal val="0"/>
          <c:showCatName val="0"/>
          <c:showSerName val="0"/>
          <c:showPercent val="0"/>
          <c:showBubbleSize val="0"/>
        </c:dLbls>
        <c:gapWidth val="219"/>
        <c:axId val="51256015"/>
        <c:axId val="51256495"/>
      </c:barChart>
      <c:lineChart>
        <c:grouping val="standard"/>
        <c:varyColors val="0"/>
        <c:ser>
          <c:idx val="1"/>
          <c:order val="1"/>
          <c:tx>
            <c:v>Total Orders</c:v>
          </c:tx>
          <c:spPr>
            <a:ln w="28575" cap="rnd">
              <a:solidFill>
                <a:schemeClr val="accent2"/>
              </a:solidFill>
              <a:round/>
            </a:ln>
            <a:effectLst/>
          </c:spPr>
          <c:marker>
            <c:symbol val="none"/>
          </c:marker>
          <c:cat>
            <c:strLit>
              <c:ptCount val="5"/>
              <c:pt idx="0">
                <c:v>0</c:v>
              </c:pt>
              <c:pt idx="1">
                <c:v>5</c:v>
              </c:pt>
              <c:pt idx="2">
                <c:v>10</c:v>
              </c:pt>
              <c:pt idx="3">
                <c:v>15</c:v>
              </c:pt>
              <c:pt idx="4">
                <c:v>20</c:v>
              </c:pt>
            </c:strLit>
          </c:cat>
          <c:val>
            <c:numLit>
              <c:formatCode>General</c:formatCode>
              <c:ptCount val="5"/>
              <c:pt idx="0">
                <c:v>1039</c:v>
              </c:pt>
              <c:pt idx="1">
                <c:v>650</c:v>
              </c:pt>
              <c:pt idx="2">
                <c:v>383</c:v>
              </c:pt>
              <c:pt idx="3">
                <c:v>321</c:v>
              </c:pt>
              <c:pt idx="4">
                <c:v>207</c:v>
              </c:pt>
            </c:numLit>
          </c:val>
          <c:smooth val="0"/>
          <c:extLst>
            <c:ext xmlns:c16="http://schemas.microsoft.com/office/drawing/2014/chart" uri="{C3380CC4-5D6E-409C-BE32-E72D297353CC}">
              <c16:uniqueId val="{00000005-CAF2-465E-8D5E-8D56E00DC85F}"/>
            </c:ext>
          </c:extLst>
        </c:ser>
        <c:dLbls>
          <c:showLegendKey val="0"/>
          <c:showVal val="0"/>
          <c:showCatName val="0"/>
          <c:showSerName val="0"/>
          <c:showPercent val="0"/>
          <c:showBubbleSize val="0"/>
        </c:dLbls>
        <c:marker val="1"/>
        <c:smooth val="0"/>
        <c:axId val="51254095"/>
        <c:axId val="51253135"/>
      </c:lineChart>
      <c:catAx>
        <c:axId val="51256015"/>
        <c:scaling>
          <c:orientation val="minMax"/>
        </c:scaling>
        <c:delete val="0"/>
        <c:axPos val="b"/>
        <c:numFmt formatCode="0.00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56495"/>
        <c:crosses val="autoZero"/>
        <c:auto val="1"/>
        <c:lblAlgn val="ctr"/>
        <c:lblOffset val="100"/>
        <c:noMultiLvlLbl val="0"/>
      </c:catAx>
      <c:valAx>
        <c:axId val="51256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56015"/>
        <c:crosses val="autoZero"/>
        <c:crossBetween val="between"/>
        <c:extLst>
          <c:ext xmlns:c15="http://schemas.microsoft.com/office/drawing/2012/chart" uri="{F40574EE-89B7-4290-83BB-5DA773EAF853}">
            <c15:numFmt c:formatCode="General" c:sourceLinked="1"/>
          </c:ext>
        </c:extLst>
      </c:valAx>
      <c:valAx>
        <c:axId val="51253135"/>
        <c:scaling>
          <c:orientation val="minMax"/>
        </c:scaling>
        <c:delete val="0"/>
        <c:axPos val="r"/>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54095"/>
        <c:crosses val="max"/>
        <c:crossBetween val="between"/>
        <c:extLst>
          <c:ext xmlns:c15="http://schemas.microsoft.com/office/drawing/2012/chart" uri="{F40574EE-89B7-4290-83BB-5DA773EAF853}">
            <c15:numFmt c:formatCode="General" c:sourceLinked="1"/>
          </c:ext>
        </c:extLst>
      </c:valAx>
      <c:catAx>
        <c:axId val="51254095"/>
        <c:scaling>
          <c:orientation val="minMax"/>
        </c:scaling>
        <c:delete val="1"/>
        <c:axPos val="b"/>
        <c:numFmt formatCode="General" sourceLinked="0"/>
        <c:majorTickMark val="out"/>
        <c:minorTickMark val="none"/>
        <c:tickLblPos val="nextTo"/>
        <c:crossAx val="51253135"/>
        <c:auto val="1"/>
        <c:lblAlgn val="ctr"/>
        <c:lblOffset val="100"/>
        <c:noMultiLvlLbl val="0"/>
        <c:extLst>
          <c:ext xmlns:c15="http://schemas.microsoft.com/office/drawing/2012/chart" uri="{F40574EE-89B7-4290-83BB-5DA773EAF853}">
            <c15:numFmt c:formatCode="General" c:sourceLinked="1"/>
          </c:ext>
        </c:extLst>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[Ecommerce_Sales_KPI_Dashboard.xlsx]PivotChartTable11</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Deep Dive'!A1"/><Relationship Id="rId1" Type="http://schemas.openxmlformats.org/officeDocument/2006/relationships/hyperlink" Target="#Overview!A1"/></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203200</xdr:colOff>
      <xdr:row>12</xdr:row>
      <xdr:rowOff>107950</xdr:rowOff>
    </xdr:from>
    <xdr:to>
      <xdr:col>6</xdr:col>
      <xdr:colOff>158750</xdr:colOff>
      <xdr:row>15</xdr:row>
      <xdr:rowOff>50800</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EF3090E1-B63F-7962-FF0A-C4CF622066CE}"/>
            </a:ext>
          </a:extLst>
        </xdr:cNvPr>
        <xdr:cNvSpPr/>
      </xdr:nvSpPr>
      <xdr:spPr>
        <a:xfrm>
          <a:off x="812800" y="2317750"/>
          <a:ext cx="3003550" cy="495300"/>
        </a:xfrm>
        <a:prstGeom prst="roundRect">
          <a:avLst>
            <a:gd name="adj" fmla="val 30770"/>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Overview</a:t>
          </a:r>
          <a:r>
            <a:rPr lang="en-IN" sz="1200" b="1" baseline="0"/>
            <a:t> Dashbord</a:t>
          </a:r>
          <a:endParaRPr lang="en-IN" sz="1200" b="1"/>
        </a:p>
      </xdr:txBody>
    </xdr:sp>
    <xdr:clientData/>
  </xdr:twoCellAnchor>
  <xdr:twoCellAnchor>
    <xdr:from>
      <xdr:col>8</xdr:col>
      <xdr:colOff>393700</xdr:colOff>
      <xdr:row>12</xdr:row>
      <xdr:rowOff>95250</xdr:rowOff>
    </xdr:from>
    <xdr:to>
      <xdr:col>13</xdr:col>
      <xdr:colOff>349250</xdr:colOff>
      <xdr:row>15</xdr:row>
      <xdr:rowOff>38100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899800ED-2517-49A4-ADCF-0CC285A6B30C}"/>
            </a:ext>
          </a:extLst>
        </xdr:cNvPr>
        <xdr:cNvSpPr/>
      </xdr:nvSpPr>
      <xdr:spPr>
        <a:xfrm>
          <a:off x="5270500" y="2305050"/>
          <a:ext cx="3003550" cy="495300"/>
        </a:xfrm>
        <a:prstGeom prst="roundRect">
          <a:avLst>
            <a:gd name="adj" fmla="val 30770"/>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baseline="0"/>
            <a:t>Deep Dive Dashbord</a:t>
          </a:r>
          <a:endParaRPr lang="en-IN" sz="12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74719</xdr:colOff>
      <xdr:row>7</xdr:row>
      <xdr:rowOff>47932</xdr:rowOff>
    </xdr:from>
    <xdr:to>
      <xdr:col>7</xdr:col>
      <xdr:colOff>297016</xdr:colOff>
      <xdr:row>22</xdr:row>
      <xdr:rowOff>51210</xdr:rowOff>
    </xdr:to>
    <xdr:graphicFrame macro="">
      <xdr:nvGraphicFramePr>
        <xdr:cNvPr id="6" name="Chart 5">
          <a:extLst>
            <a:ext uri="{FF2B5EF4-FFF2-40B4-BE49-F238E27FC236}">
              <a16:creationId xmlns:a16="http://schemas.microsoft.com/office/drawing/2014/main" id="{850EB0A4-F263-0CD4-2EDC-53F0E798D2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352705</xdr:colOff>
      <xdr:row>7</xdr:row>
      <xdr:rowOff>53181</xdr:rowOff>
    </xdr:from>
    <xdr:to>
      <xdr:col>11</xdr:col>
      <xdr:colOff>665726</xdr:colOff>
      <xdr:row>22</xdr:row>
      <xdr:rowOff>57944</xdr:rowOff>
    </xdr:to>
    <xdr:graphicFrame macro="">
      <xdr:nvGraphicFramePr>
        <xdr:cNvPr id="11" name="Chart 10">
          <a:extLst>
            <a:ext uri="{FF2B5EF4-FFF2-40B4-BE49-F238E27FC236}">
              <a16:creationId xmlns:a16="http://schemas.microsoft.com/office/drawing/2014/main" id="{B3DD911D-8824-ADEA-961E-C6CB7D496A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727178</xdr:colOff>
      <xdr:row>7</xdr:row>
      <xdr:rowOff>54461</xdr:rowOff>
    </xdr:from>
    <xdr:to>
      <xdr:col>14</xdr:col>
      <xdr:colOff>1648950</xdr:colOff>
      <xdr:row>22</xdr:row>
      <xdr:rowOff>59224</xdr:rowOff>
    </xdr:to>
    <xdr:graphicFrame macro="">
      <xdr:nvGraphicFramePr>
        <xdr:cNvPr id="12" name="Chart 11">
          <a:extLst>
            <a:ext uri="{FF2B5EF4-FFF2-40B4-BE49-F238E27FC236}">
              <a16:creationId xmlns:a16="http://schemas.microsoft.com/office/drawing/2014/main" id="{DBE35442-9F23-3452-B26B-DF3F9545F2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353211</xdr:colOff>
      <xdr:row>23</xdr:row>
      <xdr:rowOff>16492</xdr:rowOff>
    </xdr:from>
    <xdr:to>
      <xdr:col>4</xdr:col>
      <xdr:colOff>262758</xdr:colOff>
      <xdr:row>36</xdr:row>
      <xdr:rowOff>145770</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0DEBCF88-0F38-97BD-882A-8EB218F4077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41782" y="4189349"/>
              <a:ext cx="2649119" cy="2487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522910</xdr:colOff>
      <xdr:row>23</xdr:row>
      <xdr:rowOff>5368</xdr:rowOff>
    </xdr:from>
    <xdr:to>
      <xdr:col>7</xdr:col>
      <xdr:colOff>580259</xdr:colOff>
      <xdr:row>36</xdr:row>
      <xdr:rowOff>132879</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4CFE4304-4BB7-EDCB-E1DD-F98563D004C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351053" y="4178225"/>
              <a:ext cx="2805992" cy="24860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790083</xdr:colOff>
      <xdr:row>23</xdr:row>
      <xdr:rowOff>3427</xdr:rowOff>
    </xdr:from>
    <xdr:to>
      <xdr:col>10</xdr:col>
      <xdr:colOff>186120</xdr:colOff>
      <xdr:row>36</xdr:row>
      <xdr:rowOff>132705</xdr:rowOff>
    </xdr:to>
    <mc:AlternateContent xmlns:mc="http://schemas.openxmlformats.org/markup-compatibility/2006">
      <mc:Choice xmlns:a14="http://schemas.microsoft.com/office/drawing/2010/main" Requires="a14">
        <xdr:graphicFrame macro="">
          <xdr:nvGraphicFramePr>
            <xdr:cNvPr id="15" name="Segment">
              <a:extLst>
                <a:ext uri="{FF2B5EF4-FFF2-40B4-BE49-F238E27FC236}">
                  <a16:creationId xmlns:a16="http://schemas.microsoft.com/office/drawing/2014/main" id="{B4225087-BF8A-A58A-1AB9-125D305B6C0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7366869" y="4176284"/>
              <a:ext cx="2561965" cy="2487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313835</xdr:colOff>
      <xdr:row>23</xdr:row>
      <xdr:rowOff>3249</xdr:rowOff>
    </xdr:from>
    <xdr:to>
      <xdr:col>13</xdr:col>
      <xdr:colOff>426984</xdr:colOff>
      <xdr:row>36</xdr:row>
      <xdr:rowOff>132527</xdr:rowOff>
    </xdr:to>
    <mc:AlternateContent xmlns:mc="http://schemas.openxmlformats.org/markup-compatibility/2006">
      <mc:Choice xmlns:a14="http://schemas.microsoft.com/office/drawing/2010/main" Requires="a14">
        <xdr:graphicFrame macro="">
          <xdr:nvGraphicFramePr>
            <xdr:cNvPr id="16" name="Year">
              <a:extLst>
                <a:ext uri="{FF2B5EF4-FFF2-40B4-BE49-F238E27FC236}">
                  <a16:creationId xmlns:a16="http://schemas.microsoft.com/office/drawing/2014/main" id="{49448A71-C80A-55B8-73C9-0440AF8DB16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056549" y="4176106"/>
              <a:ext cx="2716649" cy="2487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161925</xdr:colOff>
      <xdr:row>0</xdr:row>
      <xdr:rowOff>127000</xdr:rowOff>
    </xdr:from>
    <xdr:to>
      <xdr:col>7</xdr:col>
      <xdr:colOff>466725</xdr:colOff>
      <xdr:row>15</xdr:row>
      <xdr:rowOff>107950</xdr:rowOff>
    </xdr:to>
    <xdr:graphicFrame macro="">
      <xdr:nvGraphicFramePr>
        <xdr:cNvPr id="2" name="Chart 1">
          <a:extLst>
            <a:ext uri="{FF2B5EF4-FFF2-40B4-BE49-F238E27FC236}">
              <a16:creationId xmlns:a16="http://schemas.microsoft.com/office/drawing/2014/main" id="{A0E1E3A0-2F27-DF88-0323-4AA98E9FAE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521429</xdr:colOff>
      <xdr:row>0</xdr:row>
      <xdr:rowOff>144206</xdr:rowOff>
    </xdr:from>
    <xdr:to>
      <xdr:col>15</xdr:col>
      <xdr:colOff>231923</xdr:colOff>
      <xdr:row>15</xdr:row>
      <xdr:rowOff>122084</xdr:rowOff>
    </xdr:to>
    <xdr:graphicFrame macro="">
      <xdr:nvGraphicFramePr>
        <xdr:cNvPr id="3" name="Chart 2">
          <a:extLst>
            <a:ext uri="{FF2B5EF4-FFF2-40B4-BE49-F238E27FC236}">
              <a16:creationId xmlns:a16="http://schemas.microsoft.com/office/drawing/2014/main" id="{1B8C8770-7F19-5A65-AED0-B47B1891F0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169333</xdr:colOff>
      <xdr:row>16</xdr:row>
      <xdr:rowOff>35984</xdr:rowOff>
    </xdr:from>
    <xdr:to>
      <xdr:col>6</xdr:col>
      <xdr:colOff>35277</xdr:colOff>
      <xdr:row>31</xdr:row>
      <xdr:rowOff>27517</xdr:rowOff>
    </xdr:to>
    <xdr:graphicFrame macro="">
      <xdr:nvGraphicFramePr>
        <xdr:cNvPr id="4" name="Chart 3">
          <a:extLst>
            <a:ext uri="{FF2B5EF4-FFF2-40B4-BE49-F238E27FC236}">
              <a16:creationId xmlns:a16="http://schemas.microsoft.com/office/drawing/2014/main" id="{50E6879B-C64C-7210-1097-EE983902F3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157914</xdr:colOff>
      <xdr:row>16</xdr:row>
      <xdr:rowOff>15373</xdr:rowOff>
    </xdr:from>
    <xdr:to>
      <xdr:col>15</xdr:col>
      <xdr:colOff>225592</xdr:colOff>
      <xdr:row>31</xdr:row>
      <xdr:rowOff>41777</xdr:rowOff>
    </xdr:to>
    <xdr:graphicFrame macro="">
      <xdr:nvGraphicFramePr>
        <xdr:cNvPr id="5" name="Chart 4">
          <a:extLst>
            <a:ext uri="{FF2B5EF4-FFF2-40B4-BE49-F238E27FC236}">
              <a16:creationId xmlns:a16="http://schemas.microsoft.com/office/drawing/2014/main" id="{FA1A7BF4-5060-E090-CD0C-B8E8BFC2B5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450942</xdr:colOff>
      <xdr:row>1</xdr:row>
      <xdr:rowOff>36812</xdr:rowOff>
    </xdr:from>
    <xdr:to>
      <xdr:col>20</xdr:col>
      <xdr:colOff>71550</xdr:colOff>
      <xdr:row>15</xdr:row>
      <xdr:rowOff>8847</xdr:rowOff>
    </xdr:to>
    <mc:AlternateContent xmlns:mc="http://schemas.openxmlformats.org/markup-compatibility/2006">
      <mc:Choice xmlns:a14="http://schemas.microsoft.com/office/drawing/2010/main" Requires="a14">
        <xdr:graphicFrame macro="">
          <xdr:nvGraphicFramePr>
            <xdr:cNvPr id="6" name="Category 1">
              <a:extLst>
                <a:ext uri="{FF2B5EF4-FFF2-40B4-BE49-F238E27FC236}">
                  <a16:creationId xmlns:a16="http://schemas.microsoft.com/office/drawing/2014/main" id="{EC5B4245-F5E8-460D-AA12-459551311C2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567728" y="218241"/>
              <a:ext cx="2659536" cy="2512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478551</xdr:colOff>
      <xdr:row>1</xdr:row>
      <xdr:rowOff>9203</xdr:rowOff>
    </xdr:from>
    <xdr:to>
      <xdr:col>25</xdr:col>
      <xdr:colOff>246960</xdr:colOff>
      <xdr:row>14</xdr:row>
      <xdr:rowOff>163529</xdr:rowOff>
    </xdr:to>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77637E1E-609F-4B1B-8332-E4CE51CC849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634265" y="190632"/>
              <a:ext cx="2807338" cy="25128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515361</xdr:colOff>
      <xdr:row>16</xdr:row>
      <xdr:rowOff>110435</xdr:rowOff>
    </xdr:from>
    <xdr:to>
      <xdr:col>20</xdr:col>
      <xdr:colOff>38494</xdr:colOff>
      <xdr:row>30</xdr:row>
      <xdr:rowOff>82471</xdr:rowOff>
    </xdr:to>
    <mc:AlternateContent xmlns:mc="http://schemas.openxmlformats.org/markup-compatibility/2006">
      <mc:Choice xmlns:a14="http://schemas.microsoft.com/office/drawing/2010/main" Requires="a14">
        <xdr:graphicFrame macro="">
          <xdr:nvGraphicFramePr>
            <xdr:cNvPr id="8" name="Segment 1">
              <a:extLst>
                <a:ext uri="{FF2B5EF4-FFF2-40B4-BE49-F238E27FC236}">
                  <a16:creationId xmlns:a16="http://schemas.microsoft.com/office/drawing/2014/main" id="{5DFBA221-A773-488E-AAAD-4CDFC54B13E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9632147" y="3013292"/>
              <a:ext cx="2562061" cy="25120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524566</xdr:colOff>
      <xdr:row>16</xdr:row>
      <xdr:rowOff>110434</xdr:rowOff>
    </xdr:from>
    <xdr:to>
      <xdr:col>25</xdr:col>
      <xdr:colOff>206447</xdr:colOff>
      <xdr:row>30</xdr:row>
      <xdr:rowOff>82470</xdr:rowOff>
    </xdr:to>
    <mc:AlternateContent xmlns:mc="http://schemas.openxmlformats.org/markup-compatibility/2006">
      <mc:Choice xmlns:a14="http://schemas.microsoft.com/office/drawing/2010/main" Requires="a14">
        <xdr:graphicFrame macro="">
          <xdr:nvGraphicFramePr>
            <xdr:cNvPr id="9" name="Year 1">
              <a:extLst>
                <a:ext uri="{FF2B5EF4-FFF2-40B4-BE49-F238E27FC236}">
                  <a16:creationId xmlns:a16="http://schemas.microsoft.com/office/drawing/2014/main" id="{B3117CD0-8D89-4286-9C9C-68FC907678A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2680280" y="3013291"/>
              <a:ext cx="2720810" cy="25120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Nikhil Tripathi" refreshedDate="46194.328123842592" backgroundQuery="1" createdVersion="3" refreshedVersion="8" minRefreshableVersion="3" recordCount="0" tupleCache="1" xr:uid="{D60EA3E2-2DE5-43D9-93C3-56F078D23309}">
  <cacheSource type="external" connectionId="5"/>
  <cacheFields count="1">
    <cacheField name="[Measures].[MeasuresLevel]" caption="MeasuresLevel" numFmtId="0" hierarchy="6">
      <sharedItems count="5">
        <s v="[Measures].[Total Orders]" c="Total Orders"/>
        <s v="[Measures].[Total Profit]" c="Total Profit"/>
        <s v="[Measures].[Total Revenue]" c="Total Revenue"/>
        <s v="[Measures].[Pct of Target Achieved]" c="Pct of Target Achieved"/>
        <s v="[Measures].[AOV]" c="AOV"/>
      </sharedItems>
    </cacheField>
  </cacheFields>
  <cacheHierarchies count="51">
    <cacheHierarchy uniqueName="[Customers].[CustomerID]" caption="CustomerID" attribute="1" defaultMemberUniqueName="[Customers].[CustomerID].[All]" allUniqueName="[Customers].[CustomerID].[All]" dimensionUniqueName="[Customers]" displayFolder="" count="2" memberValueDatatype="13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SignupDate]" caption="SignupDate" attribute="1" time="1" defaultMemberUniqueName="[Customers].[SignupDate].[All]" allUniqueName="[Customers].[SignupDate].[All]" dimensionUniqueName="[Customers]" displayFolder="" count="2" memberValueDatatype="7" unbalanced="0"/>
    <cacheHierarchy uniqueName="[Measures]" caption="Measures" attribute="1" keyAttribute="1" defaultMemberUniqueName="[Measures].[__No measures defined]" dimensionUniqueName="[Measures]" displayFolder="" measures="1" count="1" memberValueDatatype="130" unbalanced="0">
      <fieldsUsage count="1">
        <fieldUsage x="0"/>
      </fieldsUsage>
    </cacheHierarchy>
    <cacheHierarchy uniqueName="[Products].[ProductID]" caption="ProductID" attribute="1" defaultMemberUniqueName="[Products].[ProductID].[All]" allUniqueName="[Products].[ProductID].[All]" dimensionUniqueName="[Products]" displayFolder="" count="2" memberValueDatatype="13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CostPrice]" caption="CostPrice" attribute="1" defaultMemberUniqueName="[Products].[CostPrice].[All]" allUniqueName="[Products].[CostPrice].[All]" dimensionUniqueName="[Products]" displayFolder="" count="2" memberValueDatatype="5" unbalanced="0"/>
    <cacheHierarchy uniqueName="[Products].[SellingPrice]" caption="SellingPrice" attribute="1" defaultMemberUniqueName="[Products].[SellingPrice].[All]" allUniqueName="[Products].[SellingPrice].[All]" dimensionUniqueName="[Products]" displayFolder="" count="2" memberValueDatatype="5" unbalanced="0"/>
    <cacheHierarchy uniqueName="[Regions].[Region]" caption="Region" attribute="1" defaultMemberUniqueName="[Regions].[Region].[All]" allUniqueName="[Regions].[Region].[All]" dimensionUniqueName="[Regions]" displayFolder="" count="2" memberValueDatatype="130" unbalanced="0"/>
    <cacheHierarchy uniqueName="[Sales_Raw].[OrderID]" caption="OrderID" attribute="1" defaultMemberUniqueName="[Sales_Raw].[OrderID].[All]" allUniqueName="[Sales_Raw].[OrderID].[All]" dimensionUniqueName="[Sales_Raw]" displayFolder="" count="2" memberValueDatatype="130" unbalanced="0"/>
    <cacheHierarchy uniqueName="[Sales_Raw].[CustomerID]" caption="CustomerID" attribute="1" defaultMemberUniqueName="[Sales_Raw].[CustomerID].[All]" allUniqueName="[Sales_Raw].[CustomerID].[All]" dimensionUniqueName="[Sales_Raw]" displayFolder="" count="2" memberValueDatatype="130" unbalanced="0"/>
    <cacheHierarchy uniqueName="[Sales_Raw].[ProductID]" caption="ProductID" attribute="1" defaultMemberUniqueName="[Sales_Raw].[ProductID].[All]" allUniqueName="[Sales_Raw].[ProductID].[All]" dimensionUniqueName="[Sales_Raw]" displayFolder="" count="2" memberValueDatatype="130" unbalanced="0"/>
    <cacheHierarchy uniqueName="[Sales_Raw].[Quantity]" caption="Quantity" attribute="1" defaultMemberUniqueName="[Sales_Raw].[Quantity].[All]" allUniqueName="[Sales_Raw].[Quantity].[All]" dimensionUniqueName="[Sales_Raw]" displayFolder="" count="2" memberValueDatatype="20" unbalanced="0"/>
    <cacheHierarchy uniqueName="[Sales_Raw].[Region_raw]" caption="Region_raw" attribute="1" defaultMemberUniqueName="[Sales_Raw].[Region_raw].[All]" allUniqueName="[Sales_Raw].[Region_raw].[All]" dimensionUniqueName="[Sales_Raw]" displayFolder="" count="2" memberValueDatatype="130" unbalanced="0"/>
    <cacheHierarchy uniqueName="[Sales_Raw].[PaymentMethod]" caption="PaymentMethod" attribute="1" defaultMemberUniqueName="[Sales_Raw].[PaymentMethod].[All]" allUniqueName="[Sales_Raw].[PaymentMethod].[All]" dimensionUniqueName="[Sales_Raw]" displayFolder="" count="2" memberValueDatatype="130" unbalanced="0"/>
    <cacheHierarchy uniqueName="[Sales_Raw].[DiscountPct]" caption="DiscountPct" attribute="1" defaultMemberUniqueName="[Sales_Raw].[DiscountPct].[All]" allUniqueName="[Sales_Raw].[DiscountPct].[All]" dimensionUniqueName="[Sales_Raw]" displayFolder="" count="2" memberValueDatatype="20" unbalanced="0"/>
    <cacheHierarchy uniqueName="[Sales_Raw].[GrossAmount]" caption="GrossAmount" attribute="1" defaultMemberUniqueName="[Sales_Raw].[GrossAmount].[All]" allUniqueName="[Sales_Raw].[GrossAmount].[All]" dimensionUniqueName="[Sales_Raw]" displayFolder="" count="2" memberValueDatatype="5" unbalanced="0"/>
    <cacheHierarchy uniqueName="[Sales_Raw].[DiscountAmount]" caption="DiscountAmount" attribute="1" defaultMemberUniqueName="[Sales_Raw].[DiscountAmount].[All]" allUniqueName="[Sales_Raw].[DiscountAmount].[All]" dimensionUniqueName="[Sales_Raw]" displayFolder="" count="2" memberValueDatatype="5" unbalanced="0"/>
    <cacheHierarchy uniqueName="[Sales_Raw].[NetAmount]" caption="NetAmount" attribute="1" defaultMemberUniqueName="[Sales_Raw].[NetAmount].[All]" allUniqueName="[Sales_Raw].[NetAmount].[All]" dimensionUniqueName="[Sales_Raw]" displayFolder="" count="2" memberValueDatatype="5" unbalanced="0"/>
    <cacheHierarchy uniqueName="[Sales_Raw].[OrderStatus]" caption="OrderStatus" attribute="1" defaultMemberUniqueName="[Sales_Raw].[OrderStatus].[All]" allUniqueName="[Sales_Raw].[OrderStatus].[All]" dimensionUniqueName="[Sales_Raw]" displayFolder="" count="2" memberValueDatatype="130" unbalanced="0"/>
    <cacheHierarchy uniqueName="[Sales_Raw].[OrderDate]" caption="OrderDate" attribute="1" time="1" defaultMemberUniqueName="[Sales_Raw].[OrderDate].[All]" allUniqueName="[Sales_Raw].[OrderDate].[All]" dimensionUniqueName="[Sales_Raw]" displayFolder="" count="2" memberValueDatatype="7" unbalanced="0"/>
    <cacheHierarchy uniqueName="[Sales_Raw].[Year]" caption="Year" attribute="1" defaultMemberUniqueName="[Sales_Raw].[Year].[All]" allUniqueName="[Sales_Raw].[Year].[All]" dimensionUniqueName="[Sales_Raw]" displayFolder="" count="2" memberValueDatatype="20" unbalanced="0"/>
    <cacheHierarchy uniqueName="[Sales_Raw].[MonthYear]" caption="MonthYear" attribute="1" defaultMemberUniqueName="[Sales_Raw].[MonthYear].[All]" allUniqueName="[Sales_Raw].[MonthYear].[All]" dimensionUniqueName="[Sales_Raw]" displayFolder="" count="2" memberValueDatatype="130" unbalanced="0"/>
    <cacheHierarchy uniqueName="[Sales_Raw].[MonthYearSort]" caption="MonthYearSort" attribute="1" defaultMemberUniqueName="[Sales_Raw].[MonthYearSort].[All]" allUniqueName="[Sales_Raw].[MonthYearSort].[All]" dimensionUniqueName="[Sales_Raw]" displayFolder="" count="2" memberValueDatatype="20" unbalanced="0"/>
    <cacheHierarchy uniqueName="[Sales_Raw].[OrderDate (Year)]" caption="OrderDate (Year)" attribute="1" defaultMemberUniqueName="[Sales_Raw].[OrderDate (Year)].[All]" allUniqueName="[Sales_Raw].[OrderDate (Year)].[All]" dimensionUniqueName="[Sales_Raw]" displayFolder="" count="2" memberValueDatatype="130" unbalanced="0"/>
    <cacheHierarchy uniqueName="[Sales_Raw].[OrderDate (Quarter)]" caption="OrderDate (Quarter)" attribute="1" defaultMemberUniqueName="[Sales_Raw].[OrderDate (Quarter)].[All]" allUniqueName="[Sales_Raw].[OrderDate (Quarter)].[All]" dimensionUniqueName="[Sales_Raw]" displayFolder="" count="2" memberValueDatatype="130" unbalanced="0"/>
    <cacheHierarchy uniqueName="[Sales_Raw].[OrderDate (Month)]" caption="OrderDate (Month)" attribute="1" defaultMemberUniqueName="[Sales_Raw].[OrderDate (Month)].[All]" allUniqueName="[Sales_Raw].[OrderDate (Month)].[All]" dimensionUniqueName="[Sales_Raw]" displayFolder="" count="2" memberValueDatatype="130" unbalanced="0"/>
    <cacheHierarchy uniqueName="[Targets_Monthly].[Region]" caption="Region" attribute="1" defaultMemberUniqueName="[Targets_Monthly].[Region].[All]" allUniqueName="[Targets_Monthly].[Region].[All]" dimensionUniqueName="[Targets_Monthly]" displayFolder="" count="2" memberValueDatatype="130" unbalanced="0"/>
    <cacheHierarchy uniqueName="[Targets_Monthly].[Attribute]" caption="Attribute" attribute="1" defaultMemberUniqueName="[Targets_Monthly].[Attribute].[All]" allUniqueName="[Targets_Monthly].[Attribute].[All]" dimensionUniqueName="[Targets_Monthly]" displayFolder="" count="2" memberValueDatatype="130" unbalanced="0"/>
    <cacheHierarchy uniqueName="[Targets_Monthly].[Value]" caption="Value" attribute="1" defaultMemberUniqueName="[Targets_Monthly].[Value].[All]" allUniqueName="[Targets_Monthly].[Value].[All]" dimensionUniqueName="[Targets_Monthly]" displayFolder="" count="2" memberValueDatatype="20" unbalanced="0"/>
    <cacheHierarchy uniqueName="[Sales_Raw].[OrderDate (Month Index)]" caption="OrderDate (Month Index)" attribute="1" defaultMemberUniqueName="[Sales_Raw].[OrderDate (Month Index)].[All]" allUniqueName="[Sales_Raw].[OrderDate (Month Index)].[All]" dimensionUniqueName="[Sales_Raw]" displayFolder="" count="2" memberValueDatatype="20" unbalanced="0" hidden="1"/>
    <cacheHierarchy uniqueName="[Measures].[Total Revenue]" caption="Total Revenue" measure="1" displayFolder="" measureGroup="Sales_Raw" count="0"/>
    <cacheHierarchy uniqueName="[Measures].[Total Orders]" caption="Total Orders" measure="1" displayFolder="" measureGroup="Sales_Raw" count="0"/>
    <cacheHierarchy uniqueName="[Measures].[Total Cost]" caption="Total Cost" measure="1" displayFolder="" measureGroup="Sales_Raw" count="0"/>
    <cacheHierarchy uniqueName="[Measures].[Total Profit]" caption="Total Profit" measure="1" displayFolder="" measureGroup="Sales_Raw" count="0"/>
    <cacheHierarchy uniqueName="[Measures].[AOV]" caption="AOV" measure="1" displayFolder="" measureGroup="Sales_Raw" count="0"/>
    <cacheHierarchy uniqueName="[Measures].[Total Target]" caption="Total Target" measure="1" displayFolder="" measureGroup="Sales_Raw" count="0"/>
    <cacheHierarchy uniqueName="[Measures].[Pct of Target Achieved]" caption="Pct of Target Achieved" measure="1" displayFolder="" measureGroup="Sales_Raw" count="0"/>
    <cacheHierarchy uniqueName="[Measures].[Avg Discount %]" caption="Avg Discount %" measure="1" displayFolder="" measureGroup="Sales_Raw"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_Raw]" caption="__XL_Count Sales_Raw" measure="1" displayFolder="" measureGroup="Sales_Raw" count="0" hidden="1"/>
    <cacheHierarchy uniqueName="[Measures].[__XL_Count Targets_Monthly]" caption="__XL_Count Targets_Monthly" measure="1" displayFolder="" measureGroup="Targets_Monthly" count="0" hidden="1"/>
    <cacheHierarchy uniqueName="[Measures].[__XL_Count Regions]" caption="__XL_Count Regions" measure="1" displayFolder="" measureGroup="Regions" count="0" hidden="1"/>
    <cacheHierarchy uniqueName="[Measures].[__No measures defined]" caption="__No measures defined" measure="1" displayFolder="" count="0" hidden="1"/>
    <cacheHierarchy uniqueName="[Measures].[Count of OrderID]" caption="Count of OrderID" measure="1" displayFolder="" measureGroup="Sales_Raw"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Sales_Raw" count="0" hidden="1">
      <extLst>
        <ext xmlns:x15="http://schemas.microsoft.com/office/spreadsheetml/2010/11/main" uri="{B97F6D7D-B522-45F9-BDA1-12C45D357490}">
          <x15:cacheHierarchy aggregatedColumn="14"/>
        </ext>
      </extLst>
    </cacheHierarchy>
  </cacheHierarchies>
  <kpis count="0"/>
  <tupleCache>
    <entries count="5">
      <n v="1.3624505057523517E-2" in="0">
        <tpls c="1">
          <tpl fld="0" item="3"/>
        </tpls>
      </n>
      <n v="156.00786153846153" in="0">
        <tpls c="1">
          <tpl fld="0" item="4"/>
        </tpls>
      </n>
      <n v="2600" in="0">
        <tpls c="1">
          <tpl fld="0" item="0"/>
        </tpls>
      </n>
      <n v="186379.10000000009" in="0">
        <tpls c="1">
          <tpl fld="0" item="1"/>
        </tpls>
      </n>
      <n v="405620.44" in="0">
        <tpls c="1">
          <tpl fld="0" item="2"/>
        </tpls>
      </n>
    </entries>
    <queryCache count="5">
      <query mdx="[Measures].[Total Orders]">
        <tpls c="1">
          <tpl fld="0" item="0"/>
        </tpls>
      </query>
      <query mdx="[Measures].[Total Profit]">
        <tpls c="1">
          <tpl fld="0" item="1"/>
        </tpls>
      </query>
      <query mdx="[Measures].[Total Revenue]">
        <tpls c="1">
          <tpl fld="0" item="2"/>
        </tpls>
      </query>
      <query mdx="[Measures].[Pct of Target Achieved]">
        <tpls c="1">
          <tpl fld="0" item="3"/>
        </tpls>
      </query>
      <query mdx="[Measures].[AOV]]">
        <tpls c="1">
          <tpl fld="0" item="4"/>
        </tpls>
      </query>
    </queryCache>
    <serverFormats count="1">
      <serverFormat format=""/>
    </serverFormats>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Tripathi" refreshedDate="46194.353029745369" backgroundQuery="1" createdVersion="3" refreshedVersion="8" minRefreshableVersion="3" recordCount="0" supportSubquery="1" supportAdvancedDrill="1" xr:uid="{D97AA825-F2C0-44E8-BB84-00ABA792C2DF}">
  <cacheSource type="external" connectionId="5">
    <extLst>
      <ext xmlns:x14="http://schemas.microsoft.com/office/spreadsheetml/2009/9/main" uri="{F057638F-6D5F-4e77-A914-E7F072B9BCA8}">
        <x14:sourceConnection name="ThisWorkbookDataModel"/>
      </ext>
    </extLst>
  </cacheSource>
  <cacheFields count="0"/>
  <cacheHierarchies count="5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CostPrice]" caption="CostPrice" attribute="1" defaultMemberUniqueName="[Products].[CostPrice].[All]" allUniqueName="[Products].[CostPrice].[All]" dimensionUniqueName="[Products]" displayFolder="" count="0" memberValueDatatype="5" unbalanced="0"/>
    <cacheHierarchy uniqueName="[Products].[SellingPrice]" caption="SellingPrice" attribute="1" defaultMemberUniqueName="[Products].[SellingPrice].[All]" allUniqueName="[Products].[SellingPrice].[All]" dimensionUniqueName="[Products]" displayFolder="" count="0" memberValueDatatype="5" unbalanced="0"/>
    <cacheHierarchy uniqueName="[Regions].[Region]" caption="Region" attribute="1" defaultMemberUniqueName="[Regions].[Region].[All]" allUniqueName="[Regions].[Region].[All]" dimensionUniqueName="[Regions]" displayFolder="" count="2" memberValueDatatype="130" unbalanced="0"/>
    <cacheHierarchy uniqueName="[Sales_Raw].[OrderID]" caption="OrderID" attribute="1" defaultMemberUniqueName="[Sales_Raw].[OrderID].[All]" allUniqueName="[Sales_Raw].[OrderID].[All]" dimensionUniqueName="[Sales_Raw]" displayFolder="" count="0" memberValueDatatype="130" unbalanced="0"/>
    <cacheHierarchy uniqueName="[Sales_Raw].[CustomerID]" caption="CustomerID" attribute="1" defaultMemberUniqueName="[Sales_Raw].[CustomerID].[All]" allUniqueName="[Sales_Raw].[CustomerID].[All]" dimensionUniqueName="[Sales_Raw]" displayFolder="" count="0" memberValueDatatype="130" unbalanced="0"/>
    <cacheHierarchy uniqueName="[Sales_Raw].[ProductID]" caption="ProductID" attribute="1" defaultMemberUniqueName="[Sales_Raw].[ProductID].[All]" allUniqueName="[Sales_Raw].[ProductID].[All]" dimensionUniqueName="[Sales_Raw]" displayFolder="" count="0" memberValueDatatype="130" unbalanced="0"/>
    <cacheHierarchy uniqueName="[Sales_Raw].[Quantity]" caption="Quantity" attribute="1" defaultMemberUniqueName="[Sales_Raw].[Quantity].[All]" allUniqueName="[Sales_Raw].[Quantity].[All]" dimensionUniqueName="[Sales_Raw]" displayFolder="" count="0" memberValueDatatype="20" unbalanced="0"/>
    <cacheHierarchy uniqueName="[Sales_Raw].[Region_raw]" caption="Region_raw" attribute="1" defaultMemberUniqueName="[Sales_Raw].[Region_raw].[All]" allUniqueName="[Sales_Raw].[Region_raw].[All]" dimensionUniqueName="[Sales_Raw]" displayFolder="" count="0" memberValueDatatype="130" unbalanced="0"/>
    <cacheHierarchy uniqueName="[Sales_Raw].[PaymentMethod]" caption="PaymentMethod" attribute="1" defaultMemberUniqueName="[Sales_Raw].[PaymentMethod].[All]" allUniqueName="[Sales_Raw].[PaymentMethod].[All]" dimensionUniqueName="[Sales_Raw]" displayFolder="" count="0" memberValueDatatype="130" unbalanced="0"/>
    <cacheHierarchy uniqueName="[Sales_Raw].[DiscountPct]" caption="DiscountPct" attribute="1" defaultMemberUniqueName="[Sales_Raw].[DiscountPct].[All]" allUniqueName="[Sales_Raw].[DiscountPct].[All]" dimensionUniqueName="[Sales_Raw]" displayFolder="" count="0" memberValueDatatype="20" unbalanced="0"/>
    <cacheHierarchy uniqueName="[Sales_Raw].[GrossAmount]" caption="GrossAmount" attribute="1" defaultMemberUniqueName="[Sales_Raw].[GrossAmount].[All]" allUniqueName="[Sales_Raw].[GrossAmount].[All]" dimensionUniqueName="[Sales_Raw]" displayFolder="" count="0" memberValueDatatype="5" unbalanced="0"/>
    <cacheHierarchy uniqueName="[Sales_Raw].[DiscountAmount]" caption="DiscountAmount" attribute="1" defaultMemberUniqueName="[Sales_Raw].[DiscountAmount].[All]" allUniqueName="[Sales_Raw].[DiscountAmount].[All]" dimensionUniqueName="[Sales_Raw]" displayFolder="" count="0" memberValueDatatype="5" unbalanced="0"/>
    <cacheHierarchy uniqueName="[Sales_Raw].[NetAmount]" caption="NetAmount" attribute="1" defaultMemberUniqueName="[Sales_Raw].[NetAmount].[All]" allUniqueName="[Sales_Raw].[NetAmount].[All]" dimensionUniqueName="[Sales_Raw]" displayFolder="" count="0" memberValueDatatype="5" unbalanced="0"/>
    <cacheHierarchy uniqueName="[Sales_Raw].[OrderStatus]" caption="OrderStatus" attribute="1" defaultMemberUniqueName="[Sales_Raw].[OrderStatus].[All]" allUniqueName="[Sales_Raw].[OrderStatus].[All]" dimensionUniqueName="[Sales_Raw]" displayFolder="" count="0" memberValueDatatype="130" unbalanced="0"/>
    <cacheHierarchy uniqueName="[Sales_Raw].[OrderDate]" caption="OrderDate" attribute="1" time="1" defaultMemberUniqueName="[Sales_Raw].[OrderDate].[All]" allUniqueName="[Sales_Raw].[OrderDate].[All]" dimensionUniqueName="[Sales_Raw]" displayFolder="" count="0" memberValueDatatype="7" unbalanced="0"/>
    <cacheHierarchy uniqueName="[Sales_Raw].[Year]" caption="Year" attribute="1" defaultMemberUniqueName="[Sales_Raw].[Year].[All]" allUniqueName="[Sales_Raw].[Year].[All]" dimensionUniqueName="[Sales_Raw]" displayFolder="" count="2" memberValueDatatype="20" unbalanced="0"/>
    <cacheHierarchy uniqueName="[Sales_Raw].[MonthYear]" caption="MonthYear" attribute="1" defaultMemberUniqueName="[Sales_Raw].[MonthYear].[All]" allUniqueName="[Sales_Raw].[MonthYear].[All]" dimensionUniqueName="[Sales_Raw]" displayFolder="" count="0" memberValueDatatype="130" unbalanced="0"/>
    <cacheHierarchy uniqueName="[Sales_Raw].[MonthYearSort]" caption="MonthYearSort" attribute="1" defaultMemberUniqueName="[Sales_Raw].[MonthYearSort].[All]" allUniqueName="[Sales_Raw].[MonthYearSort].[All]" dimensionUniqueName="[Sales_Raw]" displayFolder="" count="0" memberValueDatatype="20" unbalanced="0"/>
    <cacheHierarchy uniqueName="[Sales_Raw].[OrderDate (Year)]" caption="OrderDate (Year)" attribute="1" defaultMemberUniqueName="[Sales_Raw].[OrderDate (Year)].[All]" allUniqueName="[Sales_Raw].[OrderDate (Year)].[All]" dimensionUniqueName="[Sales_Raw]" displayFolder="" count="0" memberValueDatatype="130" unbalanced="0"/>
    <cacheHierarchy uniqueName="[Sales_Raw].[OrderDate (Quarter)]" caption="OrderDate (Quarter)" attribute="1" defaultMemberUniqueName="[Sales_Raw].[OrderDate (Quarter)].[All]" allUniqueName="[Sales_Raw].[OrderDate (Quarter)].[All]" dimensionUniqueName="[Sales_Raw]" displayFolder="" count="0" memberValueDatatype="130" unbalanced="0"/>
    <cacheHierarchy uniqueName="[Sales_Raw].[OrderDate (Month)]" caption="OrderDate (Month)" attribute="1" defaultMemberUniqueName="[Sales_Raw].[OrderDate (Month)].[All]" allUniqueName="[Sales_Raw].[OrderDate (Month)].[All]" dimensionUniqueName="[Sales_Raw]" displayFolder="" count="0" memberValueDatatype="130" unbalanced="0"/>
    <cacheHierarchy uniqueName="[Targets_Monthly].[Region]" caption="Region" attribute="1" defaultMemberUniqueName="[Targets_Monthly].[Region].[All]" allUniqueName="[Targets_Monthly].[Region].[All]" dimensionUniqueName="[Targets_Monthly]" displayFolder="" count="0" memberValueDatatype="130" unbalanced="0"/>
    <cacheHierarchy uniqueName="[Targets_Monthly].[Attribute]" caption="Attribute" attribute="1" defaultMemberUniqueName="[Targets_Monthly].[Attribute].[All]" allUniqueName="[Targets_Monthly].[Attribute].[All]" dimensionUniqueName="[Targets_Monthly]" displayFolder="" count="0" memberValueDatatype="130" unbalanced="0"/>
    <cacheHierarchy uniqueName="[Targets_Monthly].[Value]" caption="Value" attribute="1" defaultMemberUniqueName="[Targets_Monthly].[Value].[All]" allUniqueName="[Targets_Monthly].[Value].[All]" dimensionUniqueName="[Targets_Monthly]" displayFolder="" count="0" memberValueDatatype="20" unbalanced="0"/>
    <cacheHierarchy uniqueName="[Sales_Raw].[OrderDate (Month Index)]" caption="OrderDate (Month Index)" attribute="1" defaultMemberUniqueName="[Sales_Raw].[OrderDate (Month Index)].[All]" allUniqueName="[Sales_Raw].[OrderDate (Month Index)].[All]" dimensionUniqueName="[Sales_Raw]" displayFolder="" count="0" memberValueDatatype="20" unbalanced="0" hidden="1"/>
    <cacheHierarchy uniqueName="[Measures].[Total Revenue]" caption="Total Revenue" measure="1" displayFolder="" measureGroup="Sales_Raw" count="0"/>
    <cacheHierarchy uniqueName="[Measures].[Total Orders]" caption="Total Orders" measure="1" displayFolder="" measureGroup="Sales_Raw" count="0"/>
    <cacheHierarchy uniqueName="[Measures].[Total Cost]" caption="Total Cost" measure="1" displayFolder="" measureGroup="Sales_Raw" count="0"/>
    <cacheHierarchy uniqueName="[Measures].[Total Profit]" caption="Total Profit" measure="1" displayFolder="" measureGroup="Sales_Raw" count="0"/>
    <cacheHierarchy uniqueName="[Measures].[AOV]" caption="AOV" measure="1" displayFolder="" measureGroup="Sales_Raw" count="0"/>
    <cacheHierarchy uniqueName="[Measures].[Total Target]" caption="Total Target" measure="1" displayFolder="" measureGroup="Sales_Raw" count="0"/>
    <cacheHierarchy uniqueName="[Measures].[Pct of Target Achieved]" caption="Pct of Target Achieved" measure="1" displayFolder="" measureGroup="Sales_Raw" count="0"/>
    <cacheHierarchy uniqueName="[Measures].[Avg Discount %]" caption="Avg Discount %" measure="1" displayFolder="" measureGroup="Sales_Raw"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_Raw]" caption="__XL_Count Sales_Raw" measure="1" displayFolder="" measureGroup="Sales_Raw" count="0" hidden="1"/>
    <cacheHierarchy uniqueName="[Measures].[__XL_Count Targets_Monthly]" caption="__XL_Count Targets_Monthly" measure="1" displayFolder="" measureGroup="Targets_Monthly" count="0" hidden="1"/>
    <cacheHierarchy uniqueName="[Measures].[__XL_Count Regions]" caption="__XL_Count Regions" measure="1" displayFolder="" measureGroup="Regions" count="0" hidden="1"/>
    <cacheHierarchy uniqueName="[Measures].[__No measures defined]" caption="__No measures defined" measure="1" displayFolder="" count="0" hidden="1"/>
    <cacheHierarchy uniqueName="[Measures].[Count of OrderID]" caption="Count of OrderID" measure="1" displayFolder="" measureGroup="Sales_Raw" count="0" hidden="1">
      <extLst>
        <ext xmlns:x15="http://schemas.microsoft.com/office/spreadsheetml/2010/11/main" uri="{B97F6D7D-B522-45F9-BDA1-12C45D357490}">
          <x15:cacheHierarchy aggregatedColumn="12"/>
        </ext>
      </extLst>
    </cacheHierarchy>
    <cacheHierarchy uniqueName="[Measures].[Count of CustomerID]" caption="Count of CustomerID" measure="1" displayFolder="" measureGroup="Sales_Raw"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329218578"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Tripathi" refreshedDate="46194.388152199077" backgroundQuery="1" createdVersion="8" refreshedVersion="8" minRefreshableVersion="3" recordCount="0" supportSubquery="1" supportAdvancedDrill="1" xr:uid="{1E8E8D01-DD6A-4A36-B801-456780BCD1A1}">
  <cacheSource type="external" connectionId="5">
    <extLst>
      <ext xmlns:x14="http://schemas.microsoft.com/office/spreadsheetml/2009/9/main" uri="{F057638F-6D5F-4e77-A914-E7F072B9BCA8}">
        <x14:sourceConnection name="ThisWorkbookDataModel"/>
      </ext>
    </extLst>
  </cacheSource>
  <cacheFields count="3">
    <cacheField name="[Sales_Raw].[MonthYear].[MonthYear]" caption="MonthYear" numFmtId="0" hierarchy="25" level="1">
      <sharedItems count="24">
        <s v="Jan-2024"/>
        <s v="Feb-2024"/>
        <s v="Mar-2024"/>
        <s v="Apr-2024"/>
        <s v="May-2024"/>
        <s v="Jun-2024"/>
        <s v="Jul-2024"/>
        <s v="Aug-2024"/>
        <s v="Sep-2024"/>
        <s v="Oct-2024"/>
        <s v="Nov-2024"/>
        <s v="Dec-2024"/>
        <s v="Jan-2025"/>
        <s v="Feb-2025"/>
        <s v="Mar-2025"/>
        <s v="Apr-2025"/>
        <s v="May-2025"/>
        <s v="Jun-2025"/>
        <s v="Jul-2025"/>
        <s v="Aug-2025"/>
        <s v="Sep-2025"/>
        <s v="Oct-2025"/>
        <s v="Nov-2025"/>
        <s v="Dec-2025"/>
      </sharedItems>
    </cacheField>
    <cacheField name="[Measures].[Total Revenue]" caption="Total Revenue" numFmtId="0" hierarchy="34" level="32767"/>
    <cacheField name="[Regions].[Region].[Region]" caption="Region" numFmtId="0" hierarchy="11" level="1">
      <sharedItems containsSemiMixedTypes="0" containsNonDate="0" containsString="0"/>
    </cacheField>
  </cacheFields>
  <cacheHierarchies count="50">
    <cacheHierarchy uniqueName="[Customers].[CustomerID]" caption="CustomerID" attribute="1" defaultMemberUniqueName="[Customers].[CustomerID].[All]" allUniqueName="[Customers].[CustomerID].[All]" dimensionUniqueName="[Customers]" displayFolder="" count="2" memberValueDatatype="13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SignupDate]" caption="SignupDate" attribute="1" time="1" defaultMemberUniqueName="[Customers].[SignupDate].[All]" allUniqueName="[Customers].[SignupDate].[All]" dimensionUniqueName="[Customers]" displayFolder="" count="2" memberValueDatatype="7" unbalanced="0"/>
    <cacheHierarchy uniqueName="[Products].[ProductID]" caption="ProductID" attribute="1" defaultMemberUniqueName="[Products].[ProductID].[All]" allUniqueName="[Products].[ProductID].[All]" dimensionUniqueName="[Products]" displayFolder="" count="2" memberValueDatatype="13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CostPrice]" caption="CostPrice" attribute="1" defaultMemberUniqueName="[Products].[CostPrice].[All]" allUniqueName="[Products].[CostPrice].[All]" dimensionUniqueName="[Products]" displayFolder="" count="2" memberValueDatatype="5" unbalanced="0"/>
    <cacheHierarchy uniqueName="[Products].[SellingPrice]" caption="SellingPrice" attribute="1" defaultMemberUniqueName="[Products].[SellingPrice].[All]" allUniqueName="[Products].[SellingPrice].[All]" dimensionUniqueName="[Products]" displayFolder="" count="2" memberValueDatatype="5" unbalanced="0"/>
    <cacheHierarchy uniqueName="[Regions].[Region]" caption="Region" attribute="1" defaultMemberUniqueName="[Regions].[Region].[All]" allUniqueName="[Regions].[Region].[All]" dimensionUniqueName="[Regions]" displayFolder="" count="2" memberValueDatatype="130" unbalanced="0">
      <fieldsUsage count="2">
        <fieldUsage x="-1"/>
        <fieldUsage x="2"/>
      </fieldsUsage>
    </cacheHierarchy>
    <cacheHierarchy uniqueName="[Sales_Raw].[OrderID]" caption="OrderID" attribute="1" defaultMemberUniqueName="[Sales_Raw].[OrderID].[All]" allUniqueName="[Sales_Raw].[OrderID].[All]" dimensionUniqueName="[Sales_Raw]" displayFolder="" count="2" memberValueDatatype="130" unbalanced="0"/>
    <cacheHierarchy uniqueName="[Sales_Raw].[CustomerID]" caption="CustomerID" attribute="1" defaultMemberUniqueName="[Sales_Raw].[CustomerID].[All]" allUniqueName="[Sales_Raw].[CustomerID].[All]" dimensionUniqueName="[Sales_Raw]" displayFolder="" count="2" memberValueDatatype="130" unbalanced="0"/>
    <cacheHierarchy uniqueName="[Sales_Raw].[ProductID]" caption="ProductID" attribute="1" defaultMemberUniqueName="[Sales_Raw].[ProductID].[All]" allUniqueName="[Sales_Raw].[ProductID].[All]" dimensionUniqueName="[Sales_Raw]" displayFolder="" count="2" memberValueDatatype="130" unbalanced="0"/>
    <cacheHierarchy uniqueName="[Sales_Raw].[Quantity]" caption="Quantity" attribute="1" defaultMemberUniqueName="[Sales_Raw].[Quantity].[All]" allUniqueName="[Sales_Raw].[Quantity].[All]" dimensionUniqueName="[Sales_Raw]" displayFolder="" count="2" memberValueDatatype="20" unbalanced="0"/>
    <cacheHierarchy uniqueName="[Sales_Raw].[Region_raw]" caption="Region_raw" attribute="1" defaultMemberUniqueName="[Sales_Raw].[Region_raw].[All]" allUniqueName="[Sales_Raw].[Region_raw].[All]" dimensionUniqueName="[Sales_Raw]" displayFolder="" count="2" memberValueDatatype="130" unbalanced="0"/>
    <cacheHierarchy uniqueName="[Sales_Raw].[PaymentMethod]" caption="PaymentMethod" attribute="1" defaultMemberUniqueName="[Sales_Raw].[PaymentMethod].[All]" allUniqueName="[Sales_Raw].[PaymentMethod].[All]" dimensionUniqueName="[Sales_Raw]" displayFolder="" count="2" memberValueDatatype="130" unbalanced="0"/>
    <cacheHierarchy uniqueName="[Sales_Raw].[DiscountPct]" caption="DiscountPct" attribute="1" defaultMemberUniqueName="[Sales_Raw].[DiscountPct].[All]" allUniqueName="[Sales_Raw].[DiscountPct].[All]" dimensionUniqueName="[Sales_Raw]" displayFolder="" count="2" memberValueDatatype="20" unbalanced="0"/>
    <cacheHierarchy uniqueName="[Sales_Raw].[GrossAmount]" caption="GrossAmount" attribute="1" defaultMemberUniqueName="[Sales_Raw].[GrossAmount].[All]" allUniqueName="[Sales_Raw].[GrossAmount].[All]" dimensionUniqueName="[Sales_Raw]" displayFolder="" count="2" memberValueDatatype="5" unbalanced="0"/>
    <cacheHierarchy uniqueName="[Sales_Raw].[DiscountAmount]" caption="DiscountAmount" attribute="1" defaultMemberUniqueName="[Sales_Raw].[DiscountAmount].[All]" allUniqueName="[Sales_Raw].[DiscountAmount].[All]" dimensionUniqueName="[Sales_Raw]" displayFolder="" count="2" memberValueDatatype="5" unbalanced="0"/>
    <cacheHierarchy uniqueName="[Sales_Raw].[NetAmount]" caption="NetAmount" attribute="1" defaultMemberUniqueName="[Sales_Raw].[NetAmount].[All]" allUniqueName="[Sales_Raw].[NetAmount].[All]" dimensionUniqueName="[Sales_Raw]" displayFolder="" count="2" memberValueDatatype="5" unbalanced="0"/>
    <cacheHierarchy uniqueName="[Sales_Raw].[OrderStatus]" caption="OrderStatus" attribute="1" defaultMemberUniqueName="[Sales_Raw].[OrderStatus].[All]" allUniqueName="[Sales_Raw].[OrderStatus].[All]" dimensionUniqueName="[Sales_Raw]" displayFolder="" count="2" memberValueDatatype="130" unbalanced="0"/>
    <cacheHierarchy uniqueName="[Sales_Raw].[OrderDate]" caption="OrderDate" attribute="1" time="1" defaultMemberUniqueName="[Sales_Raw].[OrderDate].[All]" allUniqueName="[Sales_Raw].[OrderDate].[All]" dimensionUniqueName="[Sales_Raw]" displayFolder="" count="2" memberValueDatatype="7" unbalanced="0"/>
    <cacheHierarchy uniqueName="[Sales_Raw].[Year]" caption="Year" attribute="1" defaultMemberUniqueName="[Sales_Raw].[Year].[All]" allUniqueName="[Sales_Raw].[Year].[All]" dimensionUniqueName="[Sales_Raw]" displayFolder="" count="2" memberValueDatatype="20" unbalanced="0"/>
    <cacheHierarchy uniqueName="[Sales_Raw].[MonthYear]" caption="MonthYear" attribute="1" defaultMemberUniqueName="[Sales_Raw].[MonthYear].[All]" allUniqueName="[Sales_Raw].[MonthYear].[All]" dimensionUniqueName="[Sales_Raw]" displayFolder="" count="2" memberValueDatatype="130" unbalanced="0">
      <fieldsUsage count="2">
        <fieldUsage x="-1"/>
        <fieldUsage x="0"/>
      </fieldsUsage>
    </cacheHierarchy>
    <cacheHierarchy uniqueName="[Sales_Raw].[MonthYearSort]" caption="MonthYearSort" attribute="1" defaultMemberUniqueName="[Sales_Raw].[MonthYearSort].[All]" allUniqueName="[Sales_Raw].[MonthYearSort].[All]" dimensionUniqueName="[Sales_Raw]" displayFolder="" count="2" memberValueDatatype="20" unbalanced="0"/>
    <cacheHierarchy uniqueName="[Sales_Raw].[OrderDate (Year)]" caption="OrderDate (Year)" attribute="1" defaultMemberUniqueName="[Sales_Raw].[OrderDate (Year)].[All]" allUniqueName="[Sales_Raw].[OrderDate (Year)].[All]" dimensionUniqueName="[Sales_Raw]" displayFolder="" count="2" memberValueDatatype="130" unbalanced="0"/>
    <cacheHierarchy uniqueName="[Sales_Raw].[OrderDate (Quarter)]" caption="OrderDate (Quarter)" attribute="1" defaultMemberUniqueName="[Sales_Raw].[OrderDate (Quarter)].[All]" allUniqueName="[Sales_Raw].[OrderDate (Quarter)].[All]" dimensionUniqueName="[Sales_Raw]" displayFolder="" count="2" memberValueDatatype="130" unbalanced="0"/>
    <cacheHierarchy uniqueName="[Sales_Raw].[OrderDate (Month)]" caption="OrderDate (Month)" attribute="1" defaultMemberUniqueName="[Sales_Raw].[OrderDate (Month)].[All]" allUniqueName="[Sales_Raw].[OrderDate (Month)].[All]" dimensionUniqueName="[Sales_Raw]" displayFolder="" count="2" memberValueDatatype="130" unbalanced="0"/>
    <cacheHierarchy uniqueName="[Targets_Monthly].[Region]" caption="Region" attribute="1" defaultMemberUniqueName="[Targets_Monthly].[Region].[All]" allUniqueName="[Targets_Monthly].[Region].[All]" dimensionUniqueName="[Targets_Monthly]" displayFolder="" count="2" memberValueDatatype="130" unbalanced="0"/>
    <cacheHierarchy uniqueName="[Targets_Monthly].[Attribute]" caption="Attribute" attribute="1" defaultMemberUniqueName="[Targets_Monthly].[Attribute].[All]" allUniqueName="[Targets_Monthly].[Attribute].[All]" dimensionUniqueName="[Targets_Monthly]" displayFolder="" count="2" memberValueDatatype="130" unbalanced="0"/>
    <cacheHierarchy uniqueName="[Targets_Monthly].[Value]" caption="Value" attribute="1" defaultMemberUniqueName="[Targets_Monthly].[Value].[All]" allUniqueName="[Targets_Monthly].[Value].[All]" dimensionUniqueName="[Targets_Monthly]" displayFolder="" count="2" memberValueDatatype="20" unbalanced="0"/>
    <cacheHierarchy uniqueName="[Sales_Raw].[OrderDate (Month Index)]" caption="OrderDate (Month Index)" attribute="1" defaultMemberUniqueName="[Sales_Raw].[OrderDate (Month Index)].[All]" allUniqueName="[Sales_Raw].[OrderDate (Month Index)].[All]" dimensionUniqueName="[Sales_Raw]" displayFolder="" count="2" memberValueDatatype="20" unbalanced="0" hidden="1"/>
    <cacheHierarchy uniqueName="[Measures].[Total Revenue]" caption="Total Revenue" measure="1" displayFolder="" measureGroup="Sales_Raw" count="0" oneField="1">
      <fieldsUsage count="1">
        <fieldUsage x="1"/>
      </fieldsUsage>
    </cacheHierarchy>
    <cacheHierarchy uniqueName="[Measures].[Total Orders]" caption="Total Orders" measure="1" displayFolder="" measureGroup="Sales_Raw" count="0"/>
    <cacheHierarchy uniqueName="[Measures].[Total Cost]" caption="Total Cost" measure="1" displayFolder="" measureGroup="Sales_Raw" count="0"/>
    <cacheHierarchy uniqueName="[Measures].[Total Profit]" caption="Total Profit" measure="1" displayFolder="" measureGroup="Sales_Raw" count="0"/>
    <cacheHierarchy uniqueName="[Measures].[AOV]" caption="AOV" measure="1" displayFolder="" measureGroup="Sales_Raw" count="0"/>
    <cacheHierarchy uniqueName="[Measures].[Total Target]" caption="Total Target" measure="1" displayFolder="" measureGroup="Sales_Raw" count="0"/>
    <cacheHierarchy uniqueName="[Measures].[Pct of Target Achieved]" caption="Pct of Target Achieved" measure="1" displayFolder="" measureGroup="Sales_Raw" count="0"/>
    <cacheHierarchy uniqueName="[Measures].[Avg Discount %]" caption="Avg Discount %" measure="1" displayFolder="" measureGroup="Sales_Raw"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_Raw]" caption="__XL_Count Sales_Raw" measure="1" displayFolder="" measureGroup="Sales_Raw" count="0" hidden="1"/>
    <cacheHierarchy uniqueName="[Measures].[__XL_Count Targets_Monthly]" caption="__XL_Count Targets_Monthly" measure="1" displayFolder="" measureGroup="Targets_Monthly" count="0" hidden="1"/>
    <cacheHierarchy uniqueName="[Measures].[__XL_Count Regions]" caption="__XL_Count Regions" measure="1" displayFolder="" measureGroup="Regions" count="0" hidden="1"/>
    <cacheHierarchy uniqueName="[Measures].[__No measures defined]" caption="__No measures defined" measure="1" displayFolder="" count="0" hidden="1"/>
    <cacheHierarchy uniqueName="[Measures].[Count of OrderID]" caption="Count of OrderID" measure="1" displayFolder="" measureGroup="Sales_Raw" count="0" hidden="1">
      <extLst>
        <ext xmlns:x15="http://schemas.microsoft.com/office/spreadsheetml/2010/11/main" uri="{B97F6D7D-B522-45F9-BDA1-12C45D357490}">
          <x15:cacheHierarchy aggregatedColumn="12"/>
        </ext>
      </extLst>
    </cacheHierarchy>
    <cacheHierarchy uniqueName="[Measures].[Count of CustomerID]" caption="Count of CustomerID" measure="1" displayFolder="" measureGroup="Sales_Raw" count="0" hidden="1">
      <extLst>
        <ext xmlns:x15="http://schemas.microsoft.com/office/spreadsheetml/2010/11/main" uri="{B97F6D7D-B522-45F9-BDA1-12C45D357490}">
          <x15:cacheHierarchy aggregatedColumn="13"/>
        </ext>
      </extLst>
    </cacheHierarchy>
  </cacheHierarchies>
  <kpis count="0"/>
  <dimensions count="6">
    <dimension name="Customers" uniqueName="[Customers]" caption="Customers"/>
    <dimension measure="1" name="Measures" uniqueName="[Measures]" caption="Measures"/>
    <dimension name="Products" uniqueName="[Products]" caption="Products"/>
    <dimension name="Regions" uniqueName="[Regions]" caption="Regions"/>
    <dimension name="Sales_Raw" uniqueName="[Sales_Raw]" caption="Sales_Raw"/>
    <dimension name="Targets_Monthly" uniqueName="[Targets_Monthly]" caption="Targets_Monthly"/>
  </dimensions>
  <measureGroups count="5">
    <measureGroup name="Customers" caption="Customers"/>
    <measureGroup name="Products" caption="Products"/>
    <measureGroup name="Regions" caption="Regions"/>
    <measureGroup name="Sales_Raw" caption="Sales_Raw"/>
    <measureGroup name="Targets_Monthly" caption="Targets_Monthly"/>
  </measureGroups>
  <maps count="9">
    <map measureGroup="0" dimension="0"/>
    <map measureGroup="1" dimension="2"/>
    <map measureGroup="2" dimension="3"/>
    <map measureGroup="3" dimension="0"/>
    <map measureGroup="3" dimension="2"/>
    <map measureGroup="3" dimension="3"/>
    <map measureGroup="3" dimension="4"/>
    <map measureGroup="4" dimension="3"/>
    <map measureGroup="4" dimension="5"/>
  </maps>
  <extLst>
    <ext xmlns:x14="http://schemas.microsoft.com/office/spreadsheetml/2009/9/main" uri="{725AE2AE-9491-48be-B2B4-4EB974FC3084}">
      <x14:pivotCacheDefinition pivotCacheId="79070715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Tripathi" refreshedDate="46194.388152777778" backgroundQuery="1" createdVersion="8" refreshedVersion="8" minRefreshableVersion="3" recordCount="0" supportSubquery="1" supportAdvancedDrill="1" xr:uid="{0C7E6087-73EA-4772-BA84-5B73A4EFC4C2}">
  <cacheSource type="external" connectionId="5">
    <extLst>
      <ext xmlns:x14="http://schemas.microsoft.com/office/spreadsheetml/2009/9/main" uri="{F057638F-6D5F-4e77-A914-E7F072B9BCA8}">
        <x14:sourceConnection name="ThisWorkbookDataModel"/>
      </ext>
    </extLst>
  </cacheSource>
  <cacheFields count="3">
    <cacheField name="[Products].[Category].[Category]" caption="Category" numFmtId="0" hierarchy="8" level="1">
      <sharedItems count="6">
        <s v="Beauty &amp; Personal Care"/>
        <s v="Books &amp; Stationery"/>
        <s v="Electronics"/>
        <s v="Fashion"/>
        <s v="Home &amp; Kitchen"/>
        <s v="Sports &amp; Fitness"/>
      </sharedItems>
    </cacheField>
    <cacheField name="[Measures].[Total Revenue]" caption="Total Revenue" numFmtId="0" hierarchy="34" level="32767"/>
    <cacheField name="[Regions].[Region].[Region]" caption="Region" numFmtId="0" hierarchy="11" level="1">
      <sharedItems containsSemiMixedTypes="0" containsNonDate="0" containsString="0"/>
    </cacheField>
  </cacheFields>
  <cacheHierarchies count="5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CostPrice]" caption="CostPrice" attribute="1" defaultMemberUniqueName="[Products].[CostPrice].[All]" allUniqueName="[Products].[CostPrice].[All]" dimensionUniqueName="[Products]" displayFolder="" count="0" memberValueDatatype="5" unbalanced="0"/>
    <cacheHierarchy uniqueName="[Products].[SellingPrice]" caption="SellingPrice" attribute="1" defaultMemberUniqueName="[Products].[SellingPrice].[All]" allUniqueName="[Products].[SellingPrice].[All]" dimensionUniqueName="[Products]" displayFolder="" count="0" memberValueDatatype="5" unbalanced="0"/>
    <cacheHierarchy uniqueName="[Regions].[Region]" caption="Region" attribute="1" defaultMemberUniqueName="[Regions].[Region].[All]" allUniqueName="[Regions].[Region].[All]" dimensionUniqueName="[Regions]" displayFolder="" count="2" memberValueDatatype="130" unbalanced="0">
      <fieldsUsage count="2">
        <fieldUsage x="-1"/>
        <fieldUsage x="2"/>
      </fieldsUsage>
    </cacheHierarchy>
    <cacheHierarchy uniqueName="[Sales_Raw].[OrderID]" caption="OrderID" attribute="1" defaultMemberUniqueName="[Sales_Raw].[OrderID].[All]" allUniqueName="[Sales_Raw].[OrderID].[All]" dimensionUniqueName="[Sales_Raw]" displayFolder="" count="0" memberValueDatatype="130" unbalanced="0"/>
    <cacheHierarchy uniqueName="[Sales_Raw].[CustomerID]" caption="CustomerID" attribute="1" defaultMemberUniqueName="[Sales_Raw].[CustomerID].[All]" allUniqueName="[Sales_Raw].[CustomerID].[All]" dimensionUniqueName="[Sales_Raw]" displayFolder="" count="0" memberValueDatatype="130" unbalanced="0"/>
    <cacheHierarchy uniqueName="[Sales_Raw].[ProductID]" caption="ProductID" attribute="1" defaultMemberUniqueName="[Sales_Raw].[ProductID].[All]" allUniqueName="[Sales_Raw].[ProductID].[All]" dimensionUniqueName="[Sales_Raw]" displayFolder="" count="0" memberValueDatatype="130" unbalanced="0"/>
    <cacheHierarchy uniqueName="[Sales_Raw].[Quantity]" caption="Quantity" attribute="1" defaultMemberUniqueName="[Sales_Raw].[Quantity].[All]" allUniqueName="[Sales_Raw].[Quantity].[All]" dimensionUniqueName="[Sales_Raw]" displayFolder="" count="0" memberValueDatatype="20" unbalanced="0"/>
    <cacheHierarchy uniqueName="[Sales_Raw].[Region_raw]" caption="Region_raw" attribute="1" defaultMemberUniqueName="[Sales_Raw].[Region_raw].[All]" allUniqueName="[Sales_Raw].[Region_raw].[All]" dimensionUniqueName="[Sales_Raw]" displayFolder="" count="0" memberValueDatatype="130" unbalanced="0"/>
    <cacheHierarchy uniqueName="[Sales_Raw].[PaymentMethod]" caption="PaymentMethod" attribute="1" defaultMemberUniqueName="[Sales_Raw].[PaymentMethod].[All]" allUniqueName="[Sales_Raw].[PaymentMethod].[All]" dimensionUniqueName="[Sales_Raw]" displayFolder="" count="0" memberValueDatatype="130" unbalanced="0"/>
    <cacheHierarchy uniqueName="[Sales_Raw].[DiscountPct]" caption="DiscountPct" attribute="1" defaultMemberUniqueName="[Sales_Raw].[DiscountPct].[All]" allUniqueName="[Sales_Raw].[DiscountPct].[All]" dimensionUniqueName="[Sales_Raw]" displayFolder="" count="0" memberValueDatatype="20" unbalanced="0"/>
    <cacheHierarchy uniqueName="[Sales_Raw].[GrossAmount]" caption="GrossAmount" attribute="1" defaultMemberUniqueName="[Sales_Raw].[GrossAmount].[All]" allUniqueName="[Sales_Raw].[GrossAmount].[All]" dimensionUniqueName="[Sales_Raw]" displayFolder="" count="0" memberValueDatatype="5" unbalanced="0"/>
    <cacheHierarchy uniqueName="[Sales_Raw].[DiscountAmount]" caption="DiscountAmount" attribute="1" defaultMemberUniqueName="[Sales_Raw].[DiscountAmount].[All]" allUniqueName="[Sales_Raw].[DiscountAmount].[All]" dimensionUniqueName="[Sales_Raw]" displayFolder="" count="0" memberValueDatatype="5" unbalanced="0"/>
    <cacheHierarchy uniqueName="[Sales_Raw].[NetAmount]" caption="NetAmount" attribute="1" defaultMemberUniqueName="[Sales_Raw].[NetAmount].[All]" allUniqueName="[Sales_Raw].[NetAmount].[All]" dimensionUniqueName="[Sales_Raw]" displayFolder="" count="0" memberValueDatatype="5" unbalanced="0"/>
    <cacheHierarchy uniqueName="[Sales_Raw].[OrderStatus]" caption="OrderStatus" attribute="1" defaultMemberUniqueName="[Sales_Raw].[OrderStatus].[All]" allUniqueName="[Sales_Raw].[OrderStatus].[All]" dimensionUniqueName="[Sales_Raw]" displayFolder="" count="0" memberValueDatatype="130" unbalanced="0"/>
    <cacheHierarchy uniqueName="[Sales_Raw].[OrderDate]" caption="OrderDate" attribute="1" time="1" defaultMemberUniqueName="[Sales_Raw].[OrderDate].[All]" allUniqueName="[Sales_Raw].[OrderDate].[All]" dimensionUniqueName="[Sales_Raw]" displayFolder="" count="0" memberValueDatatype="7" unbalanced="0"/>
    <cacheHierarchy uniqueName="[Sales_Raw].[Year]" caption="Year" attribute="1" defaultMemberUniqueName="[Sales_Raw].[Year].[All]" allUniqueName="[Sales_Raw].[Year].[All]" dimensionUniqueName="[Sales_Raw]" displayFolder="" count="2" memberValueDatatype="20" unbalanced="0"/>
    <cacheHierarchy uniqueName="[Sales_Raw].[MonthYear]" caption="MonthYear" attribute="1" defaultMemberUniqueName="[Sales_Raw].[MonthYear].[All]" allUniqueName="[Sales_Raw].[MonthYear].[All]" dimensionUniqueName="[Sales_Raw]" displayFolder="" count="0" memberValueDatatype="130" unbalanced="0"/>
    <cacheHierarchy uniqueName="[Sales_Raw].[MonthYearSort]" caption="MonthYearSort" attribute="1" defaultMemberUniqueName="[Sales_Raw].[MonthYearSort].[All]" allUniqueName="[Sales_Raw].[MonthYearSort].[All]" dimensionUniqueName="[Sales_Raw]" displayFolder="" count="0" memberValueDatatype="20" unbalanced="0"/>
    <cacheHierarchy uniqueName="[Sales_Raw].[OrderDate (Year)]" caption="OrderDate (Year)" attribute="1" defaultMemberUniqueName="[Sales_Raw].[OrderDate (Year)].[All]" allUniqueName="[Sales_Raw].[OrderDate (Year)].[All]" dimensionUniqueName="[Sales_Raw]" displayFolder="" count="0" memberValueDatatype="130" unbalanced="0"/>
    <cacheHierarchy uniqueName="[Sales_Raw].[OrderDate (Quarter)]" caption="OrderDate (Quarter)" attribute="1" defaultMemberUniqueName="[Sales_Raw].[OrderDate (Quarter)].[All]" allUniqueName="[Sales_Raw].[OrderDate (Quarter)].[All]" dimensionUniqueName="[Sales_Raw]" displayFolder="" count="0" memberValueDatatype="130" unbalanced="0"/>
    <cacheHierarchy uniqueName="[Sales_Raw].[OrderDate (Month)]" caption="OrderDate (Month)" attribute="1" defaultMemberUniqueName="[Sales_Raw].[OrderDate (Month)].[All]" allUniqueName="[Sales_Raw].[OrderDate (Month)].[All]" dimensionUniqueName="[Sales_Raw]" displayFolder="" count="0" memberValueDatatype="130" unbalanced="0"/>
    <cacheHierarchy uniqueName="[Targets_Monthly].[Region]" caption="Region" attribute="1" defaultMemberUniqueName="[Targets_Monthly].[Region].[All]" allUniqueName="[Targets_Monthly].[Region].[All]" dimensionUniqueName="[Targets_Monthly]" displayFolder="" count="0" memberValueDatatype="130" unbalanced="0"/>
    <cacheHierarchy uniqueName="[Targets_Monthly].[Attribute]" caption="Attribute" attribute="1" defaultMemberUniqueName="[Targets_Monthly].[Attribute].[All]" allUniqueName="[Targets_Monthly].[Attribute].[All]" dimensionUniqueName="[Targets_Monthly]" displayFolder="" count="0" memberValueDatatype="130" unbalanced="0"/>
    <cacheHierarchy uniqueName="[Targets_Monthly].[Value]" caption="Value" attribute="1" defaultMemberUniqueName="[Targets_Monthly].[Value].[All]" allUniqueName="[Targets_Monthly].[Value].[All]" dimensionUniqueName="[Targets_Monthly]" displayFolder="" count="0" memberValueDatatype="20" unbalanced="0"/>
    <cacheHierarchy uniqueName="[Sales_Raw].[OrderDate (Month Index)]" caption="OrderDate (Month Index)" attribute="1" defaultMemberUniqueName="[Sales_Raw].[OrderDate (Month Index)].[All]" allUniqueName="[Sales_Raw].[OrderDate (Month Index)].[All]" dimensionUniqueName="[Sales_Raw]" displayFolder="" count="0" memberValueDatatype="20" unbalanced="0" hidden="1"/>
    <cacheHierarchy uniqueName="[Measures].[Total Revenue]" caption="Total Revenue" measure="1" displayFolder="" measureGroup="Sales_Raw" count="0" oneField="1">
      <fieldsUsage count="1">
        <fieldUsage x="1"/>
      </fieldsUsage>
    </cacheHierarchy>
    <cacheHierarchy uniqueName="[Measures].[Total Orders]" caption="Total Orders" measure="1" displayFolder="" measureGroup="Sales_Raw" count="0"/>
    <cacheHierarchy uniqueName="[Measures].[Total Cost]" caption="Total Cost" measure="1" displayFolder="" measureGroup="Sales_Raw" count="0"/>
    <cacheHierarchy uniqueName="[Measures].[Total Profit]" caption="Total Profit" measure="1" displayFolder="" measureGroup="Sales_Raw" count="0"/>
    <cacheHierarchy uniqueName="[Measures].[AOV]" caption="AOV" measure="1" displayFolder="" measureGroup="Sales_Raw" count="0"/>
    <cacheHierarchy uniqueName="[Measures].[Total Target]" caption="Total Target" measure="1" displayFolder="" measureGroup="Sales_Raw" count="0"/>
    <cacheHierarchy uniqueName="[Measures].[Pct of Target Achieved]" caption="Pct of Target Achieved" measure="1" displayFolder="" measureGroup="Sales_Raw" count="0"/>
    <cacheHierarchy uniqueName="[Measures].[Avg Discount %]" caption="Avg Discount %" measure="1" displayFolder="" measureGroup="Sales_Raw"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_Raw]" caption="__XL_Count Sales_Raw" measure="1" displayFolder="" measureGroup="Sales_Raw" count="0" hidden="1"/>
    <cacheHierarchy uniqueName="[Measures].[__XL_Count Targets_Monthly]" caption="__XL_Count Targets_Monthly" measure="1" displayFolder="" measureGroup="Targets_Monthly" count="0" hidden="1"/>
    <cacheHierarchy uniqueName="[Measures].[__XL_Count Regions]" caption="__XL_Count Regions" measure="1" displayFolder="" measureGroup="Regions" count="0" hidden="1"/>
    <cacheHierarchy uniqueName="[Measures].[__No measures defined]" caption="__No measures defined" measure="1" displayFolder="" count="0" hidden="1"/>
    <cacheHierarchy uniqueName="[Measures].[Count of OrderID]" caption="Count of OrderID" measure="1" displayFolder="" measureGroup="Sales_Raw" count="0" hidden="1">
      <extLst>
        <ext xmlns:x15="http://schemas.microsoft.com/office/spreadsheetml/2010/11/main" uri="{B97F6D7D-B522-45F9-BDA1-12C45D357490}">
          <x15:cacheHierarchy aggregatedColumn="12"/>
        </ext>
      </extLst>
    </cacheHierarchy>
    <cacheHierarchy uniqueName="[Measures].[Count of CustomerID]" caption="Count of CustomerID" measure="1" displayFolder="" measureGroup="Sales_Raw" count="0" hidden="1">
      <extLst>
        <ext xmlns:x15="http://schemas.microsoft.com/office/spreadsheetml/2010/11/main" uri="{B97F6D7D-B522-45F9-BDA1-12C45D357490}">
          <x15:cacheHierarchy aggregatedColumn="13"/>
        </ext>
      </extLst>
    </cacheHierarchy>
  </cacheHierarchies>
  <kpis count="0"/>
  <dimensions count="6">
    <dimension name="Customers" uniqueName="[Customers]" caption="Customers"/>
    <dimension measure="1" name="Measures" uniqueName="[Measures]" caption="Measures"/>
    <dimension name="Products" uniqueName="[Products]" caption="Products"/>
    <dimension name="Regions" uniqueName="[Regions]" caption="Regions"/>
    <dimension name="Sales_Raw" uniqueName="[Sales_Raw]" caption="Sales_Raw"/>
    <dimension name="Targets_Monthly" uniqueName="[Targets_Monthly]" caption="Targets_Monthly"/>
  </dimensions>
  <measureGroups count="5">
    <measureGroup name="Customers" caption="Customers"/>
    <measureGroup name="Products" caption="Products"/>
    <measureGroup name="Regions" caption="Regions"/>
    <measureGroup name="Sales_Raw" caption="Sales_Raw"/>
    <measureGroup name="Targets_Monthly" caption="Targets_Monthly"/>
  </measureGroups>
  <maps count="9">
    <map measureGroup="0" dimension="0"/>
    <map measureGroup="1" dimension="2"/>
    <map measureGroup="2" dimension="3"/>
    <map measureGroup="3" dimension="0"/>
    <map measureGroup="3" dimension="2"/>
    <map measureGroup="3" dimension="3"/>
    <map measureGroup="3" dimension="4"/>
    <map measureGroup="4" dimension="3"/>
    <map measureGroup="4" dimension="5"/>
  </maps>
  <extLst>
    <ext xmlns:x14="http://schemas.microsoft.com/office/spreadsheetml/2009/9/main" uri="{725AE2AE-9491-48be-B2B4-4EB974FC3084}">
      <x14:pivotCacheDefinition pivotCacheId="115285023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Tripathi" refreshedDate="46194.388153125001" backgroundQuery="1" createdVersion="8" refreshedVersion="8" minRefreshableVersion="3" recordCount="0" supportSubquery="1" supportAdvancedDrill="1" xr:uid="{79625A58-A5A1-4669-A3F2-ABB3501CCE3C}">
  <cacheSource type="external" connectionId="5">
    <extLst>
      <ext xmlns:x14="http://schemas.microsoft.com/office/spreadsheetml/2009/9/main" uri="{F057638F-6D5F-4e77-A914-E7F072B9BCA8}">
        <x14:sourceConnection name="ThisWorkbookDataModel"/>
      </ext>
    </extLst>
  </cacheSource>
  <cacheFields count="2">
    <cacheField name="[Regions].[Region].[Region]" caption="Region" numFmtId="0" hierarchy="11" level="1">
      <sharedItems count="5">
        <s v="Central"/>
        <s v="East"/>
        <s v="North"/>
        <s v="South"/>
        <s v="West"/>
      </sharedItems>
    </cacheField>
    <cacheField name="[Measures].[Total Revenue]" caption="Total Revenue" numFmtId="0" hierarchy="34" level="32767"/>
  </cacheFields>
  <cacheHierarchies count="5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CostPrice]" caption="CostPrice" attribute="1" defaultMemberUniqueName="[Products].[CostPrice].[All]" allUniqueName="[Products].[CostPrice].[All]" dimensionUniqueName="[Products]" displayFolder="" count="0" memberValueDatatype="5" unbalanced="0"/>
    <cacheHierarchy uniqueName="[Products].[SellingPrice]" caption="SellingPrice" attribute="1" defaultMemberUniqueName="[Products].[SellingPrice].[All]" allUniqueName="[Products].[SellingPrice].[All]" dimensionUniqueName="[Products]" displayFolder="" count="0" memberValueDatatype="5" unbalanced="0"/>
    <cacheHierarchy uniqueName="[Regions].[Region]" caption="Region" attribute="1" defaultMemberUniqueName="[Regions].[Region].[All]" allUniqueName="[Regions].[Region].[All]" dimensionUniqueName="[Regions]" displayFolder="" count="2" memberValueDatatype="130" unbalanced="0">
      <fieldsUsage count="2">
        <fieldUsage x="-1"/>
        <fieldUsage x="0"/>
      </fieldsUsage>
    </cacheHierarchy>
    <cacheHierarchy uniqueName="[Sales_Raw].[OrderID]" caption="OrderID" attribute="1" defaultMemberUniqueName="[Sales_Raw].[OrderID].[All]" allUniqueName="[Sales_Raw].[OrderID].[All]" dimensionUniqueName="[Sales_Raw]" displayFolder="" count="0" memberValueDatatype="130" unbalanced="0"/>
    <cacheHierarchy uniqueName="[Sales_Raw].[CustomerID]" caption="CustomerID" attribute="1" defaultMemberUniqueName="[Sales_Raw].[CustomerID].[All]" allUniqueName="[Sales_Raw].[CustomerID].[All]" dimensionUniqueName="[Sales_Raw]" displayFolder="" count="0" memberValueDatatype="130" unbalanced="0"/>
    <cacheHierarchy uniqueName="[Sales_Raw].[ProductID]" caption="ProductID" attribute="1" defaultMemberUniqueName="[Sales_Raw].[ProductID].[All]" allUniqueName="[Sales_Raw].[ProductID].[All]" dimensionUniqueName="[Sales_Raw]" displayFolder="" count="0" memberValueDatatype="130" unbalanced="0"/>
    <cacheHierarchy uniqueName="[Sales_Raw].[Quantity]" caption="Quantity" attribute="1" defaultMemberUniqueName="[Sales_Raw].[Quantity].[All]" allUniqueName="[Sales_Raw].[Quantity].[All]" dimensionUniqueName="[Sales_Raw]" displayFolder="" count="0" memberValueDatatype="20" unbalanced="0"/>
    <cacheHierarchy uniqueName="[Sales_Raw].[Region_raw]" caption="Region_raw" attribute="1" defaultMemberUniqueName="[Sales_Raw].[Region_raw].[All]" allUniqueName="[Sales_Raw].[Region_raw].[All]" dimensionUniqueName="[Sales_Raw]" displayFolder="" count="0" memberValueDatatype="130" unbalanced="0"/>
    <cacheHierarchy uniqueName="[Sales_Raw].[PaymentMethod]" caption="PaymentMethod" attribute="1" defaultMemberUniqueName="[Sales_Raw].[PaymentMethod].[All]" allUniqueName="[Sales_Raw].[PaymentMethod].[All]" dimensionUniqueName="[Sales_Raw]" displayFolder="" count="0" memberValueDatatype="130" unbalanced="0"/>
    <cacheHierarchy uniqueName="[Sales_Raw].[DiscountPct]" caption="DiscountPct" attribute="1" defaultMemberUniqueName="[Sales_Raw].[DiscountPct].[All]" allUniqueName="[Sales_Raw].[DiscountPct].[All]" dimensionUniqueName="[Sales_Raw]" displayFolder="" count="0" memberValueDatatype="20" unbalanced="0"/>
    <cacheHierarchy uniqueName="[Sales_Raw].[GrossAmount]" caption="GrossAmount" attribute="1" defaultMemberUniqueName="[Sales_Raw].[GrossAmount].[All]" allUniqueName="[Sales_Raw].[GrossAmount].[All]" dimensionUniqueName="[Sales_Raw]" displayFolder="" count="0" memberValueDatatype="5" unbalanced="0"/>
    <cacheHierarchy uniqueName="[Sales_Raw].[DiscountAmount]" caption="DiscountAmount" attribute="1" defaultMemberUniqueName="[Sales_Raw].[DiscountAmount].[All]" allUniqueName="[Sales_Raw].[DiscountAmount].[All]" dimensionUniqueName="[Sales_Raw]" displayFolder="" count="0" memberValueDatatype="5" unbalanced="0"/>
    <cacheHierarchy uniqueName="[Sales_Raw].[NetAmount]" caption="NetAmount" attribute="1" defaultMemberUniqueName="[Sales_Raw].[NetAmount].[All]" allUniqueName="[Sales_Raw].[NetAmount].[All]" dimensionUniqueName="[Sales_Raw]" displayFolder="" count="0" memberValueDatatype="5" unbalanced="0"/>
    <cacheHierarchy uniqueName="[Sales_Raw].[OrderStatus]" caption="OrderStatus" attribute="1" defaultMemberUniqueName="[Sales_Raw].[OrderStatus].[All]" allUniqueName="[Sales_Raw].[OrderStatus].[All]" dimensionUniqueName="[Sales_Raw]" displayFolder="" count="0" memberValueDatatype="130" unbalanced="0"/>
    <cacheHierarchy uniqueName="[Sales_Raw].[OrderDate]" caption="OrderDate" attribute="1" time="1" defaultMemberUniqueName="[Sales_Raw].[OrderDate].[All]" allUniqueName="[Sales_Raw].[OrderDate].[All]" dimensionUniqueName="[Sales_Raw]" displayFolder="" count="0" memberValueDatatype="7" unbalanced="0"/>
    <cacheHierarchy uniqueName="[Sales_Raw].[Year]" caption="Year" attribute="1" defaultMemberUniqueName="[Sales_Raw].[Year].[All]" allUniqueName="[Sales_Raw].[Year].[All]" dimensionUniqueName="[Sales_Raw]" displayFolder="" count="2" memberValueDatatype="20" unbalanced="0"/>
    <cacheHierarchy uniqueName="[Sales_Raw].[MonthYear]" caption="MonthYear" attribute="1" defaultMemberUniqueName="[Sales_Raw].[MonthYear].[All]" allUniqueName="[Sales_Raw].[MonthYear].[All]" dimensionUniqueName="[Sales_Raw]" displayFolder="" count="0" memberValueDatatype="130" unbalanced="0"/>
    <cacheHierarchy uniqueName="[Sales_Raw].[MonthYearSort]" caption="MonthYearSort" attribute="1" defaultMemberUniqueName="[Sales_Raw].[MonthYearSort].[All]" allUniqueName="[Sales_Raw].[MonthYearSort].[All]" dimensionUniqueName="[Sales_Raw]" displayFolder="" count="0" memberValueDatatype="20" unbalanced="0"/>
    <cacheHierarchy uniqueName="[Sales_Raw].[OrderDate (Year)]" caption="OrderDate (Year)" attribute="1" defaultMemberUniqueName="[Sales_Raw].[OrderDate (Year)].[All]" allUniqueName="[Sales_Raw].[OrderDate (Year)].[All]" dimensionUniqueName="[Sales_Raw]" displayFolder="" count="0" memberValueDatatype="130" unbalanced="0"/>
    <cacheHierarchy uniqueName="[Sales_Raw].[OrderDate (Quarter)]" caption="OrderDate (Quarter)" attribute="1" defaultMemberUniqueName="[Sales_Raw].[OrderDate (Quarter)].[All]" allUniqueName="[Sales_Raw].[OrderDate (Quarter)].[All]" dimensionUniqueName="[Sales_Raw]" displayFolder="" count="0" memberValueDatatype="130" unbalanced="0"/>
    <cacheHierarchy uniqueName="[Sales_Raw].[OrderDate (Month)]" caption="OrderDate (Month)" attribute="1" defaultMemberUniqueName="[Sales_Raw].[OrderDate (Month)].[All]" allUniqueName="[Sales_Raw].[OrderDate (Month)].[All]" dimensionUniqueName="[Sales_Raw]" displayFolder="" count="0" memberValueDatatype="130" unbalanced="0"/>
    <cacheHierarchy uniqueName="[Targets_Monthly].[Region]" caption="Region" attribute="1" defaultMemberUniqueName="[Targets_Monthly].[Region].[All]" allUniqueName="[Targets_Monthly].[Region].[All]" dimensionUniqueName="[Targets_Monthly]" displayFolder="" count="0" memberValueDatatype="130" unbalanced="0"/>
    <cacheHierarchy uniqueName="[Targets_Monthly].[Attribute]" caption="Attribute" attribute="1" defaultMemberUniqueName="[Targets_Monthly].[Attribute].[All]" allUniqueName="[Targets_Monthly].[Attribute].[All]" dimensionUniqueName="[Targets_Monthly]" displayFolder="" count="0" memberValueDatatype="130" unbalanced="0"/>
    <cacheHierarchy uniqueName="[Targets_Monthly].[Value]" caption="Value" attribute="1" defaultMemberUniqueName="[Targets_Monthly].[Value].[All]" allUniqueName="[Targets_Monthly].[Value].[All]" dimensionUniqueName="[Targets_Monthly]" displayFolder="" count="0" memberValueDatatype="20" unbalanced="0"/>
    <cacheHierarchy uniqueName="[Sales_Raw].[OrderDate (Month Index)]" caption="OrderDate (Month Index)" attribute="1" defaultMemberUniqueName="[Sales_Raw].[OrderDate (Month Index)].[All]" allUniqueName="[Sales_Raw].[OrderDate (Month Index)].[All]" dimensionUniqueName="[Sales_Raw]" displayFolder="" count="0" memberValueDatatype="20" unbalanced="0" hidden="1"/>
    <cacheHierarchy uniqueName="[Measures].[Total Revenue]" caption="Total Revenue" measure="1" displayFolder="" measureGroup="Sales_Raw" count="0" oneField="1">
      <fieldsUsage count="1">
        <fieldUsage x="1"/>
      </fieldsUsage>
    </cacheHierarchy>
    <cacheHierarchy uniqueName="[Measures].[Total Orders]" caption="Total Orders" measure="1" displayFolder="" measureGroup="Sales_Raw" count="0"/>
    <cacheHierarchy uniqueName="[Measures].[Total Cost]" caption="Total Cost" measure="1" displayFolder="" measureGroup="Sales_Raw" count="0"/>
    <cacheHierarchy uniqueName="[Measures].[Total Profit]" caption="Total Profit" measure="1" displayFolder="" measureGroup="Sales_Raw" count="0"/>
    <cacheHierarchy uniqueName="[Measures].[AOV]" caption="AOV" measure="1" displayFolder="" measureGroup="Sales_Raw" count="0"/>
    <cacheHierarchy uniqueName="[Measures].[Total Target]" caption="Total Target" measure="1" displayFolder="" measureGroup="Sales_Raw" count="0"/>
    <cacheHierarchy uniqueName="[Measures].[Pct of Target Achieved]" caption="Pct of Target Achieved" measure="1" displayFolder="" measureGroup="Sales_Raw" count="0"/>
    <cacheHierarchy uniqueName="[Measures].[Avg Discount %]" caption="Avg Discount %" measure="1" displayFolder="" measureGroup="Sales_Raw"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_Raw]" caption="__XL_Count Sales_Raw" measure="1" displayFolder="" measureGroup="Sales_Raw" count="0" hidden="1"/>
    <cacheHierarchy uniqueName="[Measures].[__XL_Count Targets_Monthly]" caption="__XL_Count Targets_Monthly" measure="1" displayFolder="" measureGroup="Targets_Monthly" count="0" hidden="1"/>
    <cacheHierarchy uniqueName="[Measures].[__XL_Count Regions]" caption="__XL_Count Regions" measure="1" displayFolder="" measureGroup="Regions" count="0" hidden="1"/>
    <cacheHierarchy uniqueName="[Measures].[__No measures defined]" caption="__No measures defined" measure="1" displayFolder="" count="0" hidden="1"/>
    <cacheHierarchy uniqueName="[Measures].[Count of OrderID]" caption="Count of OrderID" measure="1" displayFolder="" measureGroup="Sales_Raw" count="0" hidden="1">
      <extLst>
        <ext xmlns:x15="http://schemas.microsoft.com/office/spreadsheetml/2010/11/main" uri="{B97F6D7D-B522-45F9-BDA1-12C45D357490}">
          <x15:cacheHierarchy aggregatedColumn="12"/>
        </ext>
      </extLst>
    </cacheHierarchy>
    <cacheHierarchy uniqueName="[Measures].[Count of CustomerID]" caption="Count of CustomerID" measure="1" displayFolder="" measureGroup="Sales_Raw" count="0" hidden="1">
      <extLst>
        <ext xmlns:x15="http://schemas.microsoft.com/office/spreadsheetml/2010/11/main" uri="{B97F6D7D-B522-45F9-BDA1-12C45D357490}">
          <x15:cacheHierarchy aggregatedColumn="13"/>
        </ext>
      </extLst>
    </cacheHierarchy>
  </cacheHierarchies>
  <kpis count="0"/>
  <dimensions count="6">
    <dimension name="Customers" uniqueName="[Customers]" caption="Customers"/>
    <dimension measure="1" name="Measures" uniqueName="[Measures]" caption="Measures"/>
    <dimension name="Products" uniqueName="[Products]" caption="Products"/>
    <dimension name="Regions" uniqueName="[Regions]" caption="Regions"/>
    <dimension name="Sales_Raw" uniqueName="[Sales_Raw]" caption="Sales_Raw"/>
    <dimension name="Targets_Monthly" uniqueName="[Targets_Monthly]" caption="Targets_Monthly"/>
  </dimensions>
  <measureGroups count="5">
    <measureGroup name="Customers" caption="Customers"/>
    <measureGroup name="Products" caption="Products"/>
    <measureGroup name="Regions" caption="Regions"/>
    <measureGroup name="Sales_Raw" caption="Sales_Raw"/>
    <measureGroup name="Targets_Monthly" caption="Targets_Monthly"/>
  </measureGroups>
  <maps count="9">
    <map measureGroup="0" dimension="0"/>
    <map measureGroup="1" dimension="2"/>
    <map measureGroup="2" dimension="3"/>
    <map measureGroup="3" dimension="0"/>
    <map measureGroup="3" dimension="2"/>
    <map measureGroup="3" dimension="3"/>
    <map measureGroup="3" dimension="4"/>
    <map measureGroup="4" dimension="3"/>
    <map measureGroup="4" dimension="5"/>
  </maps>
  <extLst>
    <ext xmlns:x14="http://schemas.microsoft.com/office/spreadsheetml/2009/9/main" uri="{725AE2AE-9491-48be-B2B4-4EB974FC3084}">
      <x14:pivotCacheDefinition pivotCacheId="66007435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Tripathi" refreshedDate="46194.388153472224" backgroundQuery="1" createdVersion="8" refreshedVersion="8" minRefreshableVersion="3" recordCount="0" supportSubquery="1" supportAdvancedDrill="1" xr:uid="{EF27DA74-9BB0-49A1-A782-AA0E94B0C7BA}">
  <cacheSource type="external" connectionId="5">
    <extLst>
      <ext xmlns:x14="http://schemas.microsoft.com/office/spreadsheetml/2009/9/main" uri="{F057638F-6D5F-4e77-A914-E7F072B9BCA8}">
        <x14:sourceConnection name="ThisWorkbookDataModel"/>
      </ext>
    </extLst>
  </cacheSource>
  <cacheFields count="3">
    <cacheField name="[Products].[ProductName].[ProductName]" caption="ProductName" numFmtId="0" hierarchy="7" level="1">
      <sharedItems count="10">
        <s v="Backpack Pro"/>
        <s v="Cap Plus"/>
        <s v="Lipstick Basic"/>
        <s v="Non-stick Pan Plus"/>
        <s v="Planner Max"/>
        <s v="Skipping Rope Basic"/>
        <s v="Skipping Rope Pro"/>
        <s v="Sneakers Pro"/>
        <s v="Trimmer Pro"/>
        <s v="Water Bottle Plus"/>
      </sharedItems>
    </cacheField>
    <cacheField name="[Measures].[Total Revenue]" caption="Total Revenue" numFmtId="0" hierarchy="34" level="32767"/>
    <cacheField name="[Regions].[Region].[Region]" caption="Region" numFmtId="0" hierarchy="11" level="1">
      <sharedItems containsSemiMixedTypes="0" containsNonDate="0" containsString="0"/>
    </cacheField>
  </cacheFields>
  <cacheHierarchies count="5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CostPrice]" caption="CostPrice" attribute="1" defaultMemberUniqueName="[Products].[CostPrice].[All]" allUniqueName="[Products].[CostPrice].[All]" dimensionUniqueName="[Products]" displayFolder="" count="0" memberValueDatatype="5" unbalanced="0"/>
    <cacheHierarchy uniqueName="[Products].[SellingPrice]" caption="SellingPrice" attribute="1" defaultMemberUniqueName="[Products].[SellingPrice].[All]" allUniqueName="[Products].[SellingPrice].[All]" dimensionUniqueName="[Products]" displayFolder="" count="0" memberValueDatatype="5" unbalanced="0"/>
    <cacheHierarchy uniqueName="[Regions].[Region]" caption="Region" attribute="1" defaultMemberUniqueName="[Regions].[Region].[All]" allUniqueName="[Regions].[Region].[All]" dimensionUniqueName="[Regions]" displayFolder="" count="2" memberValueDatatype="130" unbalanced="0">
      <fieldsUsage count="2">
        <fieldUsage x="-1"/>
        <fieldUsage x="2"/>
      </fieldsUsage>
    </cacheHierarchy>
    <cacheHierarchy uniqueName="[Sales_Raw].[OrderID]" caption="OrderID" attribute="1" defaultMemberUniqueName="[Sales_Raw].[OrderID].[All]" allUniqueName="[Sales_Raw].[OrderID].[All]" dimensionUniqueName="[Sales_Raw]" displayFolder="" count="0" memberValueDatatype="130" unbalanced="0"/>
    <cacheHierarchy uniqueName="[Sales_Raw].[CustomerID]" caption="CustomerID" attribute="1" defaultMemberUniqueName="[Sales_Raw].[CustomerID].[All]" allUniqueName="[Sales_Raw].[CustomerID].[All]" dimensionUniqueName="[Sales_Raw]" displayFolder="" count="0" memberValueDatatype="130" unbalanced="0"/>
    <cacheHierarchy uniqueName="[Sales_Raw].[ProductID]" caption="ProductID" attribute="1" defaultMemberUniqueName="[Sales_Raw].[ProductID].[All]" allUniqueName="[Sales_Raw].[ProductID].[All]" dimensionUniqueName="[Sales_Raw]" displayFolder="" count="0" memberValueDatatype="130" unbalanced="0"/>
    <cacheHierarchy uniqueName="[Sales_Raw].[Quantity]" caption="Quantity" attribute="1" defaultMemberUniqueName="[Sales_Raw].[Quantity].[All]" allUniqueName="[Sales_Raw].[Quantity].[All]" dimensionUniqueName="[Sales_Raw]" displayFolder="" count="0" memberValueDatatype="20" unbalanced="0"/>
    <cacheHierarchy uniqueName="[Sales_Raw].[Region_raw]" caption="Region_raw" attribute="1" defaultMemberUniqueName="[Sales_Raw].[Region_raw].[All]" allUniqueName="[Sales_Raw].[Region_raw].[All]" dimensionUniqueName="[Sales_Raw]" displayFolder="" count="0" memberValueDatatype="130" unbalanced="0"/>
    <cacheHierarchy uniqueName="[Sales_Raw].[PaymentMethod]" caption="PaymentMethod" attribute="1" defaultMemberUniqueName="[Sales_Raw].[PaymentMethod].[All]" allUniqueName="[Sales_Raw].[PaymentMethod].[All]" dimensionUniqueName="[Sales_Raw]" displayFolder="" count="0" memberValueDatatype="130" unbalanced="0"/>
    <cacheHierarchy uniqueName="[Sales_Raw].[DiscountPct]" caption="DiscountPct" attribute="1" defaultMemberUniqueName="[Sales_Raw].[DiscountPct].[All]" allUniqueName="[Sales_Raw].[DiscountPct].[All]" dimensionUniqueName="[Sales_Raw]" displayFolder="" count="0" memberValueDatatype="20" unbalanced="0"/>
    <cacheHierarchy uniqueName="[Sales_Raw].[GrossAmount]" caption="GrossAmount" attribute="1" defaultMemberUniqueName="[Sales_Raw].[GrossAmount].[All]" allUniqueName="[Sales_Raw].[GrossAmount].[All]" dimensionUniqueName="[Sales_Raw]" displayFolder="" count="0" memberValueDatatype="5" unbalanced="0"/>
    <cacheHierarchy uniqueName="[Sales_Raw].[DiscountAmount]" caption="DiscountAmount" attribute="1" defaultMemberUniqueName="[Sales_Raw].[DiscountAmount].[All]" allUniqueName="[Sales_Raw].[DiscountAmount].[All]" dimensionUniqueName="[Sales_Raw]" displayFolder="" count="0" memberValueDatatype="5" unbalanced="0"/>
    <cacheHierarchy uniqueName="[Sales_Raw].[NetAmount]" caption="NetAmount" attribute="1" defaultMemberUniqueName="[Sales_Raw].[NetAmount].[All]" allUniqueName="[Sales_Raw].[NetAmount].[All]" dimensionUniqueName="[Sales_Raw]" displayFolder="" count="0" memberValueDatatype="5" unbalanced="0"/>
    <cacheHierarchy uniqueName="[Sales_Raw].[OrderStatus]" caption="OrderStatus" attribute="1" defaultMemberUniqueName="[Sales_Raw].[OrderStatus].[All]" allUniqueName="[Sales_Raw].[OrderStatus].[All]" dimensionUniqueName="[Sales_Raw]" displayFolder="" count="0" memberValueDatatype="130" unbalanced="0"/>
    <cacheHierarchy uniqueName="[Sales_Raw].[OrderDate]" caption="OrderDate" attribute="1" time="1" defaultMemberUniqueName="[Sales_Raw].[OrderDate].[All]" allUniqueName="[Sales_Raw].[OrderDate].[All]" dimensionUniqueName="[Sales_Raw]" displayFolder="" count="0" memberValueDatatype="7" unbalanced="0"/>
    <cacheHierarchy uniqueName="[Sales_Raw].[Year]" caption="Year" attribute="1" defaultMemberUniqueName="[Sales_Raw].[Year].[All]" allUniqueName="[Sales_Raw].[Year].[All]" dimensionUniqueName="[Sales_Raw]" displayFolder="" count="2" memberValueDatatype="20" unbalanced="0"/>
    <cacheHierarchy uniqueName="[Sales_Raw].[MonthYear]" caption="MonthYear" attribute="1" defaultMemberUniqueName="[Sales_Raw].[MonthYear].[All]" allUniqueName="[Sales_Raw].[MonthYear].[All]" dimensionUniqueName="[Sales_Raw]" displayFolder="" count="0" memberValueDatatype="130" unbalanced="0"/>
    <cacheHierarchy uniqueName="[Sales_Raw].[MonthYearSort]" caption="MonthYearSort" attribute="1" defaultMemberUniqueName="[Sales_Raw].[MonthYearSort].[All]" allUniqueName="[Sales_Raw].[MonthYearSort].[All]" dimensionUniqueName="[Sales_Raw]" displayFolder="" count="0" memberValueDatatype="20" unbalanced="0"/>
    <cacheHierarchy uniqueName="[Sales_Raw].[OrderDate (Year)]" caption="OrderDate (Year)" attribute="1" defaultMemberUniqueName="[Sales_Raw].[OrderDate (Year)].[All]" allUniqueName="[Sales_Raw].[OrderDate (Year)].[All]" dimensionUniqueName="[Sales_Raw]" displayFolder="" count="0" memberValueDatatype="130" unbalanced="0"/>
    <cacheHierarchy uniqueName="[Sales_Raw].[OrderDate (Quarter)]" caption="OrderDate (Quarter)" attribute="1" defaultMemberUniqueName="[Sales_Raw].[OrderDate (Quarter)].[All]" allUniqueName="[Sales_Raw].[OrderDate (Quarter)].[All]" dimensionUniqueName="[Sales_Raw]" displayFolder="" count="0" memberValueDatatype="130" unbalanced="0"/>
    <cacheHierarchy uniqueName="[Sales_Raw].[OrderDate (Month)]" caption="OrderDate (Month)" attribute="1" defaultMemberUniqueName="[Sales_Raw].[OrderDate (Month)].[All]" allUniqueName="[Sales_Raw].[OrderDate (Month)].[All]" dimensionUniqueName="[Sales_Raw]" displayFolder="" count="0" memberValueDatatype="130" unbalanced="0"/>
    <cacheHierarchy uniqueName="[Targets_Monthly].[Region]" caption="Region" attribute="1" defaultMemberUniqueName="[Targets_Monthly].[Region].[All]" allUniqueName="[Targets_Monthly].[Region].[All]" dimensionUniqueName="[Targets_Monthly]" displayFolder="" count="0" memberValueDatatype="130" unbalanced="0"/>
    <cacheHierarchy uniqueName="[Targets_Monthly].[Attribute]" caption="Attribute" attribute="1" defaultMemberUniqueName="[Targets_Monthly].[Attribute].[All]" allUniqueName="[Targets_Monthly].[Attribute].[All]" dimensionUniqueName="[Targets_Monthly]" displayFolder="" count="0" memberValueDatatype="130" unbalanced="0"/>
    <cacheHierarchy uniqueName="[Targets_Monthly].[Value]" caption="Value" attribute="1" defaultMemberUniqueName="[Targets_Monthly].[Value].[All]" allUniqueName="[Targets_Monthly].[Value].[All]" dimensionUniqueName="[Targets_Monthly]" displayFolder="" count="0" memberValueDatatype="20" unbalanced="0"/>
    <cacheHierarchy uniqueName="[Sales_Raw].[OrderDate (Month Index)]" caption="OrderDate (Month Index)" attribute="1" defaultMemberUniqueName="[Sales_Raw].[OrderDate (Month Index)].[All]" allUniqueName="[Sales_Raw].[OrderDate (Month Index)].[All]" dimensionUniqueName="[Sales_Raw]" displayFolder="" count="0" memberValueDatatype="20" unbalanced="0" hidden="1"/>
    <cacheHierarchy uniqueName="[Measures].[Total Revenue]" caption="Total Revenue" measure="1" displayFolder="" measureGroup="Sales_Raw" count="0" oneField="1">
      <fieldsUsage count="1">
        <fieldUsage x="1"/>
      </fieldsUsage>
    </cacheHierarchy>
    <cacheHierarchy uniqueName="[Measures].[Total Orders]" caption="Total Orders" measure="1" displayFolder="" measureGroup="Sales_Raw" count="0"/>
    <cacheHierarchy uniqueName="[Measures].[Total Cost]" caption="Total Cost" measure="1" displayFolder="" measureGroup="Sales_Raw" count="0"/>
    <cacheHierarchy uniqueName="[Measures].[Total Profit]" caption="Total Profit" measure="1" displayFolder="" measureGroup="Sales_Raw" count="0"/>
    <cacheHierarchy uniqueName="[Measures].[AOV]" caption="AOV" measure="1" displayFolder="" measureGroup="Sales_Raw" count="0"/>
    <cacheHierarchy uniqueName="[Measures].[Total Target]" caption="Total Target" measure="1" displayFolder="" measureGroup="Sales_Raw" count="0"/>
    <cacheHierarchy uniqueName="[Measures].[Pct of Target Achieved]" caption="Pct of Target Achieved" measure="1" displayFolder="" measureGroup="Sales_Raw" count="0"/>
    <cacheHierarchy uniqueName="[Measures].[Avg Discount %]" caption="Avg Discount %" measure="1" displayFolder="" measureGroup="Sales_Raw"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_Raw]" caption="__XL_Count Sales_Raw" measure="1" displayFolder="" measureGroup="Sales_Raw" count="0" hidden="1"/>
    <cacheHierarchy uniqueName="[Measures].[__XL_Count Targets_Monthly]" caption="__XL_Count Targets_Monthly" measure="1" displayFolder="" measureGroup="Targets_Monthly" count="0" hidden="1"/>
    <cacheHierarchy uniqueName="[Measures].[__XL_Count Regions]" caption="__XL_Count Regions" measure="1" displayFolder="" measureGroup="Regions" count="0" hidden="1"/>
    <cacheHierarchy uniqueName="[Measures].[__No measures defined]" caption="__No measures defined" measure="1" displayFolder="" count="0" hidden="1"/>
    <cacheHierarchy uniqueName="[Measures].[Count of OrderID]" caption="Count of OrderID" measure="1" displayFolder="" measureGroup="Sales_Raw" count="0" hidden="1">
      <extLst>
        <ext xmlns:x15="http://schemas.microsoft.com/office/spreadsheetml/2010/11/main" uri="{B97F6D7D-B522-45F9-BDA1-12C45D357490}">
          <x15:cacheHierarchy aggregatedColumn="12"/>
        </ext>
      </extLst>
    </cacheHierarchy>
    <cacheHierarchy uniqueName="[Measures].[Count of CustomerID]" caption="Count of CustomerID" measure="1" displayFolder="" measureGroup="Sales_Raw" count="0" hidden="1">
      <extLst>
        <ext xmlns:x15="http://schemas.microsoft.com/office/spreadsheetml/2010/11/main" uri="{B97F6D7D-B522-45F9-BDA1-12C45D357490}">
          <x15:cacheHierarchy aggregatedColumn="13"/>
        </ext>
      </extLst>
    </cacheHierarchy>
  </cacheHierarchies>
  <kpis count="0"/>
  <dimensions count="6">
    <dimension name="Customers" uniqueName="[Customers]" caption="Customers"/>
    <dimension measure="1" name="Measures" uniqueName="[Measures]" caption="Measures"/>
    <dimension name="Products" uniqueName="[Products]" caption="Products"/>
    <dimension name="Regions" uniqueName="[Regions]" caption="Regions"/>
    <dimension name="Sales_Raw" uniqueName="[Sales_Raw]" caption="Sales_Raw"/>
    <dimension name="Targets_Monthly" uniqueName="[Targets_Monthly]" caption="Targets_Monthly"/>
  </dimensions>
  <measureGroups count="5">
    <measureGroup name="Customers" caption="Customers"/>
    <measureGroup name="Products" caption="Products"/>
    <measureGroup name="Regions" caption="Regions"/>
    <measureGroup name="Sales_Raw" caption="Sales_Raw"/>
    <measureGroup name="Targets_Monthly" caption="Targets_Monthly"/>
  </measureGroups>
  <maps count="9">
    <map measureGroup="0" dimension="0"/>
    <map measureGroup="1" dimension="2"/>
    <map measureGroup="2" dimension="3"/>
    <map measureGroup="3" dimension="0"/>
    <map measureGroup="3" dimension="2"/>
    <map measureGroup="3" dimension="3"/>
    <map measureGroup="3" dimension="4"/>
    <map measureGroup="4" dimension="3"/>
    <map measureGroup="4" dimension="5"/>
  </maps>
  <extLst>
    <ext xmlns:x14="http://schemas.microsoft.com/office/spreadsheetml/2009/9/main" uri="{725AE2AE-9491-48be-B2B4-4EB974FC3084}">
      <x14:pivotCacheDefinition pivotCacheId="182363351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Tripathi" refreshedDate="46194.388153819447" backgroundQuery="1" createdVersion="8" refreshedVersion="8" minRefreshableVersion="3" recordCount="0" supportSubquery="1" supportAdvancedDrill="1" xr:uid="{087F5003-10CF-487B-B1E7-60016C2E0E8C}">
  <cacheSource type="external" connectionId="5">
    <extLst>
      <ext xmlns:x14="http://schemas.microsoft.com/office/spreadsheetml/2009/9/main" uri="{F057638F-6D5F-4e77-A914-E7F072B9BCA8}">
        <x14:sourceConnection name="ThisWorkbookDataModel"/>
      </ext>
    </extLst>
  </cacheSource>
  <cacheFields count="3">
    <cacheField name="[Sales_Raw].[OrderStatus].[OrderStatus]" caption="OrderStatus" numFmtId="0" hierarchy="22" level="1">
      <sharedItems count="4">
        <s v="Cancelled"/>
        <s v="Delivered"/>
        <s v="Pending"/>
        <s v="Returned"/>
      </sharedItems>
    </cacheField>
    <cacheField name="[Measures].[Total Orders]" caption="Total Orders" numFmtId="0" hierarchy="35" level="32767"/>
    <cacheField name="[Regions].[Region].[Region]" caption="Region" numFmtId="0" hierarchy="11" level="1">
      <sharedItems containsSemiMixedTypes="0" containsNonDate="0" containsString="0"/>
    </cacheField>
  </cacheFields>
  <cacheHierarchies count="5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CostPrice]" caption="CostPrice" attribute="1" defaultMemberUniqueName="[Products].[CostPrice].[All]" allUniqueName="[Products].[CostPrice].[All]" dimensionUniqueName="[Products]" displayFolder="" count="0" memberValueDatatype="5" unbalanced="0"/>
    <cacheHierarchy uniqueName="[Products].[SellingPrice]" caption="SellingPrice" attribute="1" defaultMemberUniqueName="[Products].[SellingPrice].[All]" allUniqueName="[Products].[SellingPrice].[All]" dimensionUniqueName="[Products]" displayFolder="" count="0" memberValueDatatype="5" unbalanced="0"/>
    <cacheHierarchy uniqueName="[Regions].[Region]" caption="Region" attribute="1" defaultMemberUniqueName="[Regions].[Region].[All]" allUniqueName="[Regions].[Region].[All]" dimensionUniqueName="[Regions]" displayFolder="" count="2" memberValueDatatype="130" unbalanced="0">
      <fieldsUsage count="2">
        <fieldUsage x="-1"/>
        <fieldUsage x="2"/>
      </fieldsUsage>
    </cacheHierarchy>
    <cacheHierarchy uniqueName="[Sales_Raw].[OrderID]" caption="OrderID" attribute="1" defaultMemberUniqueName="[Sales_Raw].[OrderID].[All]" allUniqueName="[Sales_Raw].[OrderID].[All]" dimensionUniqueName="[Sales_Raw]" displayFolder="" count="0" memberValueDatatype="130" unbalanced="0"/>
    <cacheHierarchy uniqueName="[Sales_Raw].[CustomerID]" caption="CustomerID" attribute="1" defaultMemberUniqueName="[Sales_Raw].[CustomerID].[All]" allUniqueName="[Sales_Raw].[CustomerID].[All]" dimensionUniqueName="[Sales_Raw]" displayFolder="" count="0" memberValueDatatype="130" unbalanced="0"/>
    <cacheHierarchy uniqueName="[Sales_Raw].[ProductID]" caption="ProductID" attribute="1" defaultMemberUniqueName="[Sales_Raw].[ProductID].[All]" allUniqueName="[Sales_Raw].[ProductID].[All]" dimensionUniqueName="[Sales_Raw]" displayFolder="" count="0" memberValueDatatype="130" unbalanced="0"/>
    <cacheHierarchy uniqueName="[Sales_Raw].[Quantity]" caption="Quantity" attribute="1" defaultMemberUniqueName="[Sales_Raw].[Quantity].[All]" allUniqueName="[Sales_Raw].[Quantity].[All]" dimensionUniqueName="[Sales_Raw]" displayFolder="" count="0" memberValueDatatype="20" unbalanced="0"/>
    <cacheHierarchy uniqueName="[Sales_Raw].[Region_raw]" caption="Region_raw" attribute="1" defaultMemberUniqueName="[Sales_Raw].[Region_raw].[All]" allUniqueName="[Sales_Raw].[Region_raw].[All]" dimensionUniqueName="[Sales_Raw]" displayFolder="" count="0" memberValueDatatype="130" unbalanced="0"/>
    <cacheHierarchy uniqueName="[Sales_Raw].[PaymentMethod]" caption="PaymentMethod" attribute="1" defaultMemberUniqueName="[Sales_Raw].[PaymentMethod].[All]" allUniqueName="[Sales_Raw].[PaymentMethod].[All]" dimensionUniqueName="[Sales_Raw]" displayFolder="" count="0" memberValueDatatype="130" unbalanced="0"/>
    <cacheHierarchy uniqueName="[Sales_Raw].[DiscountPct]" caption="DiscountPct" attribute="1" defaultMemberUniqueName="[Sales_Raw].[DiscountPct].[All]" allUniqueName="[Sales_Raw].[DiscountPct].[All]" dimensionUniqueName="[Sales_Raw]" displayFolder="" count="0" memberValueDatatype="20" unbalanced="0"/>
    <cacheHierarchy uniqueName="[Sales_Raw].[GrossAmount]" caption="GrossAmount" attribute="1" defaultMemberUniqueName="[Sales_Raw].[GrossAmount].[All]" allUniqueName="[Sales_Raw].[GrossAmount].[All]" dimensionUniqueName="[Sales_Raw]" displayFolder="" count="0" memberValueDatatype="5" unbalanced="0"/>
    <cacheHierarchy uniqueName="[Sales_Raw].[DiscountAmount]" caption="DiscountAmount" attribute="1" defaultMemberUniqueName="[Sales_Raw].[DiscountAmount].[All]" allUniqueName="[Sales_Raw].[DiscountAmount].[All]" dimensionUniqueName="[Sales_Raw]" displayFolder="" count="0" memberValueDatatype="5" unbalanced="0"/>
    <cacheHierarchy uniqueName="[Sales_Raw].[NetAmount]" caption="NetAmount" attribute="1" defaultMemberUniqueName="[Sales_Raw].[NetAmount].[All]" allUniqueName="[Sales_Raw].[NetAmount].[All]" dimensionUniqueName="[Sales_Raw]" displayFolder="" count="0" memberValueDatatype="5" unbalanced="0"/>
    <cacheHierarchy uniqueName="[Sales_Raw].[OrderStatus]" caption="OrderStatus" attribute="1" defaultMemberUniqueName="[Sales_Raw].[OrderStatus].[All]" allUniqueName="[Sales_Raw].[OrderStatus].[All]" dimensionUniqueName="[Sales_Raw]" displayFolder="" count="2" memberValueDatatype="130" unbalanced="0">
      <fieldsUsage count="2">
        <fieldUsage x="-1"/>
        <fieldUsage x="0"/>
      </fieldsUsage>
    </cacheHierarchy>
    <cacheHierarchy uniqueName="[Sales_Raw].[OrderDate]" caption="OrderDate" attribute="1" time="1" defaultMemberUniqueName="[Sales_Raw].[OrderDate].[All]" allUniqueName="[Sales_Raw].[OrderDate].[All]" dimensionUniqueName="[Sales_Raw]" displayFolder="" count="0" memberValueDatatype="7" unbalanced="0"/>
    <cacheHierarchy uniqueName="[Sales_Raw].[Year]" caption="Year" attribute="1" defaultMemberUniqueName="[Sales_Raw].[Year].[All]" allUniqueName="[Sales_Raw].[Year].[All]" dimensionUniqueName="[Sales_Raw]" displayFolder="" count="2" memberValueDatatype="20" unbalanced="0"/>
    <cacheHierarchy uniqueName="[Sales_Raw].[MonthYear]" caption="MonthYear" attribute="1" defaultMemberUniqueName="[Sales_Raw].[MonthYear].[All]" allUniqueName="[Sales_Raw].[MonthYear].[All]" dimensionUniqueName="[Sales_Raw]" displayFolder="" count="0" memberValueDatatype="130" unbalanced="0"/>
    <cacheHierarchy uniqueName="[Sales_Raw].[MonthYearSort]" caption="MonthYearSort" attribute="1" defaultMemberUniqueName="[Sales_Raw].[MonthYearSort].[All]" allUniqueName="[Sales_Raw].[MonthYearSort].[All]" dimensionUniqueName="[Sales_Raw]" displayFolder="" count="0" memberValueDatatype="20" unbalanced="0"/>
    <cacheHierarchy uniqueName="[Sales_Raw].[OrderDate (Year)]" caption="OrderDate (Year)" attribute="1" defaultMemberUniqueName="[Sales_Raw].[OrderDate (Year)].[All]" allUniqueName="[Sales_Raw].[OrderDate (Year)].[All]" dimensionUniqueName="[Sales_Raw]" displayFolder="" count="0" memberValueDatatype="130" unbalanced="0"/>
    <cacheHierarchy uniqueName="[Sales_Raw].[OrderDate (Quarter)]" caption="OrderDate (Quarter)" attribute="1" defaultMemberUniqueName="[Sales_Raw].[OrderDate (Quarter)].[All]" allUniqueName="[Sales_Raw].[OrderDate (Quarter)].[All]" dimensionUniqueName="[Sales_Raw]" displayFolder="" count="0" memberValueDatatype="130" unbalanced="0"/>
    <cacheHierarchy uniqueName="[Sales_Raw].[OrderDate (Month)]" caption="OrderDate (Month)" attribute="1" defaultMemberUniqueName="[Sales_Raw].[OrderDate (Month)].[All]" allUniqueName="[Sales_Raw].[OrderDate (Month)].[All]" dimensionUniqueName="[Sales_Raw]" displayFolder="" count="0" memberValueDatatype="130" unbalanced="0"/>
    <cacheHierarchy uniqueName="[Targets_Monthly].[Region]" caption="Region" attribute="1" defaultMemberUniqueName="[Targets_Monthly].[Region].[All]" allUniqueName="[Targets_Monthly].[Region].[All]" dimensionUniqueName="[Targets_Monthly]" displayFolder="" count="0" memberValueDatatype="130" unbalanced="0"/>
    <cacheHierarchy uniqueName="[Targets_Monthly].[Attribute]" caption="Attribute" attribute="1" defaultMemberUniqueName="[Targets_Monthly].[Attribute].[All]" allUniqueName="[Targets_Monthly].[Attribute].[All]" dimensionUniqueName="[Targets_Monthly]" displayFolder="" count="0" memberValueDatatype="130" unbalanced="0"/>
    <cacheHierarchy uniqueName="[Targets_Monthly].[Value]" caption="Value" attribute="1" defaultMemberUniqueName="[Targets_Monthly].[Value].[All]" allUniqueName="[Targets_Monthly].[Value].[All]" dimensionUniqueName="[Targets_Monthly]" displayFolder="" count="0" memberValueDatatype="20" unbalanced="0"/>
    <cacheHierarchy uniqueName="[Sales_Raw].[OrderDate (Month Index)]" caption="OrderDate (Month Index)" attribute="1" defaultMemberUniqueName="[Sales_Raw].[OrderDate (Month Index)].[All]" allUniqueName="[Sales_Raw].[OrderDate (Month Index)].[All]" dimensionUniqueName="[Sales_Raw]" displayFolder="" count="0" memberValueDatatype="20" unbalanced="0" hidden="1"/>
    <cacheHierarchy uniqueName="[Measures].[Total Revenue]" caption="Total Revenue" measure="1" displayFolder="" measureGroup="Sales_Raw" count="0"/>
    <cacheHierarchy uniqueName="[Measures].[Total Orders]" caption="Total Orders" measure="1" displayFolder="" measureGroup="Sales_Raw" count="0" oneField="1">
      <fieldsUsage count="1">
        <fieldUsage x="1"/>
      </fieldsUsage>
    </cacheHierarchy>
    <cacheHierarchy uniqueName="[Measures].[Total Cost]" caption="Total Cost" measure="1" displayFolder="" measureGroup="Sales_Raw" count="0"/>
    <cacheHierarchy uniqueName="[Measures].[Total Profit]" caption="Total Profit" measure="1" displayFolder="" measureGroup="Sales_Raw" count="0"/>
    <cacheHierarchy uniqueName="[Measures].[AOV]" caption="AOV" measure="1" displayFolder="" measureGroup="Sales_Raw" count="0"/>
    <cacheHierarchy uniqueName="[Measures].[Total Target]" caption="Total Target" measure="1" displayFolder="" measureGroup="Sales_Raw" count="0"/>
    <cacheHierarchy uniqueName="[Measures].[Pct of Target Achieved]" caption="Pct of Target Achieved" measure="1" displayFolder="" measureGroup="Sales_Raw" count="0"/>
    <cacheHierarchy uniqueName="[Measures].[Avg Discount %]" caption="Avg Discount %" measure="1" displayFolder="" measureGroup="Sales_Raw"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_Raw]" caption="__XL_Count Sales_Raw" measure="1" displayFolder="" measureGroup="Sales_Raw" count="0" hidden="1"/>
    <cacheHierarchy uniqueName="[Measures].[__XL_Count Targets_Monthly]" caption="__XL_Count Targets_Monthly" measure="1" displayFolder="" measureGroup="Targets_Monthly" count="0" hidden="1"/>
    <cacheHierarchy uniqueName="[Measures].[__XL_Count Regions]" caption="__XL_Count Regions" measure="1" displayFolder="" measureGroup="Regions" count="0" hidden="1"/>
    <cacheHierarchy uniqueName="[Measures].[__No measures defined]" caption="__No measures defined" measure="1" displayFolder="" count="0" hidden="1"/>
    <cacheHierarchy uniqueName="[Measures].[Count of OrderID]" caption="Count of OrderID" measure="1" displayFolder="" measureGroup="Sales_Raw" count="0" hidden="1">
      <extLst>
        <ext xmlns:x15="http://schemas.microsoft.com/office/spreadsheetml/2010/11/main" uri="{B97F6D7D-B522-45F9-BDA1-12C45D357490}">
          <x15:cacheHierarchy aggregatedColumn="12"/>
        </ext>
      </extLst>
    </cacheHierarchy>
    <cacheHierarchy uniqueName="[Measures].[Count of CustomerID]" caption="Count of CustomerID" measure="1" displayFolder="" measureGroup="Sales_Raw" count="0" hidden="1">
      <extLst>
        <ext xmlns:x15="http://schemas.microsoft.com/office/spreadsheetml/2010/11/main" uri="{B97F6D7D-B522-45F9-BDA1-12C45D357490}">
          <x15:cacheHierarchy aggregatedColumn="13"/>
        </ext>
      </extLst>
    </cacheHierarchy>
  </cacheHierarchies>
  <kpis count="0"/>
  <dimensions count="6">
    <dimension name="Customers" uniqueName="[Customers]" caption="Customers"/>
    <dimension measure="1" name="Measures" uniqueName="[Measures]" caption="Measures"/>
    <dimension name="Products" uniqueName="[Products]" caption="Products"/>
    <dimension name="Regions" uniqueName="[Regions]" caption="Regions"/>
    <dimension name="Sales_Raw" uniqueName="[Sales_Raw]" caption="Sales_Raw"/>
    <dimension name="Targets_Monthly" uniqueName="[Targets_Monthly]" caption="Targets_Monthly"/>
  </dimensions>
  <measureGroups count="5">
    <measureGroup name="Customers" caption="Customers"/>
    <measureGroup name="Products" caption="Products"/>
    <measureGroup name="Regions" caption="Regions"/>
    <measureGroup name="Sales_Raw" caption="Sales_Raw"/>
    <measureGroup name="Targets_Monthly" caption="Targets_Monthly"/>
  </measureGroups>
  <maps count="9">
    <map measureGroup="0" dimension="0"/>
    <map measureGroup="1" dimension="2"/>
    <map measureGroup="2" dimension="3"/>
    <map measureGroup="3" dimension="0"/>
    <map measureGroup="3" dimension="2"/>
    <map measureGroup="3" dimension="3"/>
    <map measureGroup="3" dimension="4"/>
    <map measureGroup="4" dimension="3"/>
    <map measureGroup="4" dimension="5"/>
  </maps>
  <extLst>
    <ext xmlns:x14="http://schemas.microsoft.com/office/spreadsheetml/2009/9/main" uri="{725AE2AE-9491-48be-B2B4-4EB974FC3084}">
      <x14:pivotCacheDefinition pivotCacheId="19527758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Tripathi" refreshedDate="46194.388154282409" backgroundQuery="1" createdVersion="8" refreshedVersion="8" minRefreshableVersion="3" recordCount="0" supportSubquery="1" supportAdvancedDrill="1" xr:uid="{E1F46789-AD45-4392-821B-6FA4225173E6}">
  <cacheSource type="external" connectionId="5">
    <extLst>
      <ext xmlns:x14="http://schemas.microsoft.com/office/spreadsheetml/2009/9/main" uri="{F057638F-6D5F-4e77-A914-E7F072B9BCA8}">
        <x14:sourceConnection name="ThisWorkbookDataModel"/>
      </ext>
    </extLst>
  </cacheSource>
  <cacheFields count="3">
    <cacheField name="[Customers].[Segment].[Segment]" caption="Segment" numFmtId="0" hierarchy="4" level="1">
      <sharedItems count="3">
        <s v="New"/>
        <s v="Premium"/>
        <s v="Regular"/>
      </sharedItems>
    </cacheField>
    <cacheField name="[Measures].[Total Revenue]" caption="Total Revenue" numFmtId="0" hierarchy="34" level="32767"/>
    <cacheField name="[Regions].[Region].[Region]" caption="Region" numFmtId="0" hierarchy="11" level="1">
      <sharedItems containsSemiMixedTypes="0" containsNonDate="0" containsString="0"/>
    </cacheField>
  </cacheFields>
  <cacheHierarchies count="5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0"/>
      </fieldsUsage>
    </cacheHierarchy>
    <cacheHierarchy uniqueName="[Customers].[SignupDate]" caption="SignupDate" attribute="1" time="1" defaultMemberUniqueName="[Customers].[SignupDate].[All]" allUniqueName="[Customers].[SignupDate].[All]" dimensionUniqueName="[Customers]" displayFolder="" count="0" memberValueDatatype="7"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CostPrice]" caption="CostPrice" attribute="1" defaultMemberUniqueName="[Products].[CostPrice].[All]" allUniqueName="[Products].[CostPrice].[All]" dimensionUniqueName="[Products]" displayFolder="" count="0" memberValueDatatype="5" unbalanced="0"/>
    <cacheHierarchy uniqueName="[Products].[SellingPrice]" caption="SellingPrice" attribute="1" defaultMemberUniqueName="[Products].[SellingPrice].[All]" allUniqueName="[Products].[SellingPrice].[All]" dimensionUniqueName="[Products]" displayFolder="" count="0" memberValueDatatype="5" unbalanced="0"/>
    <cacheHierarchy uniqueName="[Regions].[Region]" caption="Region" attribute="1" defaultMemberUniqueName="[Regions].[Region].[All]" allUniqueName="[Regions].[Region].[All]" dimensionUniqueName="[Regions]" displayFolder="" count="2" memberValueDatatype="130" unbalanced="0">
      <fieldsUsage count="2">
        <fieldUsage x="-1"/>
        <fieldUsage x="2"/>
      </fieldsUsage>
    </cacheHierarchy>
    <cacheHierarchy uniqueName="[Sales_Raw].[OrderID]" caption="OrderID" attribute="1" defaultMemberUniqueName="[Sales_Raw].[OrderID].[All]" allUniqueName="[Sales_Raw].[OrderID].[All]" dimensionUniqueName="[Sales_Raw]" displayFolder="" count="0" memberValueDatatype="130" unbalanced="0"/>
    <cacheHierarchy uniqueName="[Sales_Raw].[CustomerID]" caption="CustomerID" attribute="1" defaultMemberUniqueName="[Sales_Raw].[CustomerID].[All]" allUniqueName="[Sales_Raw].[CustomerID].[All]" dimensionUniqueName="[Sales_Raw]" displayFolder="" count="0" memberValueDatatype="130" unbalanced="0"/>
    <cacheHierarchy uniqueName="[Sales_Raw].[ProductID]" caption="ProductID" attribute="1" defaultMemberUniqueName="[Sales_Raw].[ProductID].[All]" allUniqueName="[Sales_Raw].[ProductID].[All]" dimensionUniqueName="[Sales_Raw]" displayFolder="" count="0" memberValueDatatype="130" unbalanced="0"/>
    <cacheHierarchy uniqueName="[Sales_Raw].[Quantity]" caption="Quantity" attribute="1" defaultMemberUniqueName="[Sales_Raw].[Quantity].[All]" allUniqueName="[Sales_Raw].[Quantity].[All]" dimensionUniqueName="[Sales_Raw]" displayFolder="" count="0" memberValueDatatype="20" unbalanced="0"/>
    <cacheHierarchy uniqueName="[Sales_Raw].[Region_raw]" caption="Region_raw" attribute="1" defaultMemberUniqueName="[Sales_Raw].[Region_raw].[All]" allUniqueName="[Sales_Raw].[Region_raw].[All]" dimensionUniqueName="[Sales_Raw]" displayFolder="" count="0" memberValueDatatype="130" unbalanced="0"/>
    <cacheHierarchy uniqueName="[Sales_Raw].[PaymentMethod]" caption="PaymentMethod" attribute="1" defaultMemberUniqueName="[Sales_Raw].[PaymentMethod].[All]" allUniqueName="[Sales_Raw].[PaymentMethod].[All]" dimensionUniqueName="[Sales_Raw]" displayFolder="" count="0" memberValueDatatype="130" unbalanced="0"/>
    <cacheHierarchy uniqueName="[Sales_Raw].[DiscountPct]" caption="DiscountPct" attribute="1" defaultMemberUniqueName="[Sales_Raw].[DiscountPct].[All]" allUniqueName="[Sales_Raw].[DiscountPct].[All]" dimensionUniqueName="[Sales_Raw]" displayFolder="" count="0" memberValueDatatype="20" unbalanced="0"/>
    <cacheHierarchy uniqueName="[Sales_Raw].[GrossAmount]" caption="GrossAmount" attribute="1" defaultMemberUniqueName="[Sales_Raw].[GrossAmount].[All]" allUniqueName="[Sales_Raw].[GrossAmount].[All]" dimensionUniqueName="[Sales_Raw]" displayFolder="" count="0" memberValueDatatype="5" unbalanced="0"/>
    <cacheHierarchy uniqueName="[Sales_Raw].[DiscountAmount]" caption="DiscountAmount" attribute="1" defaultMemberUniqueName="[Sales_Raw].[DiscountAmount].[All]" allUniqueName="[Sales_Raw].[DiscountAmount].[All]" dimensionUniqueName="[Sales_Raw]" displayFolder="" count="0" memberValueDatatype="5" unbalanced="0"/>
    <cacheHierarchy uniqueName="[Sales_Raw].[NetAmount]" caption="NetAmount" attribute="1" defaultMemberUniqueName="[Sales_Raw].[NetAmount].[All]" allUniqueName="[Sales_Raw].[NetAmount].[All]" dimensionUniqueName="[Sales_Raw]" displayFolder="" count="0" memberValueDatatype="5" unbalanced="0"/>
    <cacheHierarchy uniqueName="[Sales_Raw].[OrderStatus]" caption="OrderStatus" attribute="1" defaultMemberUniqueName="[Sales_Raw].[OrderStatus].[All]" allUniqueName="[Sales_Raw].[OrderStatus].[All]" dimensionUniqueName="[Sales_Raw]" displayFolder="" count="0" memberValueDatatype="130" unbalanced="0"/>
    <cacheHierarchy uniqueName="[Sales_Raw].[OrderDate]" caption="OrderDate" attribute="1" time="1" defaultMemberUniqueName="[Sales_Raw].[OrderDate].[All]" allUniqueName="[Sales_Raw].[OrderDate].[All]" dimensionUniqueName="[Sales_Raw]" displayFolder="" count="0" memberValueDatatype="7" unbalanced="0"/>
    <cacheHierarchy uniqueName="[Sales_Raw].[Year]" caption="Year" attribute="1" defaultMemberUniqueName="[Sales_Raw].[Year].[All]" allUniqueName="[Sales_Raw].[Year].[All]" dimensionUniqueName="[Sales_Raw]" displayFolder="" count="2" memberValueDatatype="20" unbalanced="0"/>
    <cacheHierarchy uniqueName="[Sales_Raw].[MonthYear]" caption="MonthYear" attribute="1" defaultMemberUniqueName="[Sales_Raw].[MonthYear].[All]" allUniqueName="[Sales_Raw].[MonthYear].[All]" dimensionUniqueName="[Sales_Raw]" displayFolder="" count="0" memberValueDatatype="130" unbalanced="0"/>
    <cacheHierarchy uniqueName="[Sales_Raw].[MonthYearSort]" caption="MonthYearSort" attribute="1" defaultMemberUniqueName="[Sales_Raw].[MonthYearSort].[All]" allUniqueName="[Sales_Raw].[MonthYearSort].[All]" dimensionUniqueName="[Sales_Raw]" displayFolder="" count="0" memberValueDatatype="20" unbalanced="0"/>
    <cacheHierarchy uniqueName="[Sales_Raw].[OrderDate (Year)]" caption="OrderDate (Year)" attribute="1" defaultMemberUniqueName="[Sales_Raw].[OrderDate (Year)].[All]" allUniqueName="[Sales_Raw].[OrderDate (Year)].[All]" dimensionUniqueName="[Sales_Raw]" displayFolder="" count="0" memberValueDatatype="130" unbalanced="0"/>
    <cacheHierarchy uniqueName="[Sales_Raw].[OrderDate (Quarter)]" caption="OrderDate (Quarter)" attribute="1" defaultMemberUniqueName="[Sales_Raw].[OrderDate (Quarter)].[All]" allUniqueName="[Sales_Raw].[OrderDate (Quarter)].[All]" dimensionUniqueName="[Sales_Raw]" displayFolder="" count="0" memberValueDatatype="130" unbalanced="0"/>
    <cacheHierarchy uniqueName="[Sales_Raw].[OrderDate (Month)]" caption="OrderDate (Month)" attribute="1" defaultMemberUniqueName="[Sales_Raw].[OrderDate (Month)].[All]" allUniqueName="[Sales_Raw].[OrderDate (Month)].[All]" dimensionUniqueName="[Sales_Raw]" displayFolder="" count="0" memberValueDatatype="130" unbalanced="0"/>
    <cacheHierarchy uniqueName="[Targets_Monthly].[Region]" caption="Region" attribute="1" defaultMemberUniqueName="[Targets_Monthly].[Region].[All]" allUniqueName="[Targets_Monthly].[Region].[All]" dimensionUniqueName="[Targets_Monthly]" displayFolder="" count="0" memberValueDatatype="130" unbalanced="0"/>
    <cacheHierarchy uniqueName="[Targets_Monthly].[Attribute]" caption="Attribute" attribute="1" defaultMemberUniqueName="[Targets_Monthly].[Attribute].[All]" allUniqueName="[Targets_Monthly].[Attribute].[All]" dimensionUniqueName="[Targets_Monthly]" displayFolder="" count="0" memberValueDatatype="130" unbalanced="0"/>
    <cacheHierarchy uniqueName="[Targets_Monthly].[Value]" caption="Value" attribute="1" defaultMemberUniqueName="[Targets_Monthly].[Value].[All]" allUniqueName="[Targets_Monthly].[Value].[All]" dimensionUniqueName="[Targets_Monthly]" displayFolder="" count="0" memberValueDatatype="20" unbalanced="0"/>
    <cacheHierarchy uniqueName="[Sales_Raw].[OrderDate (Month Index)]" caption="OrderDate (Month Index)" attribute="1" defaultMemberUniqueName="[Sales_Raw].[OrderDate (Month Index)].[All]" allUniqueName="[Sales_Raw].[OrderDate (Month Index)].[All]" dimensionUniqueName="[Sales_Raw]" displayFolder="" count="0" memberValueDatatype="20" unbalanced="0" hidden="1"/>
    <cacheHierarchy uniqueName="[Measures].[Total Revenue]" caption="Total Revenue" measure="1" displayFolder="" measureGroup="Sales_Raw" count="0" oneField="1">
      <fieldsUsage count="1">
        <fieldUsage x="1"/>
      </fieldsUsage>
    </cacheHierarchy>
    <cacheHierarchy uniqueName="[Measures].[Total Orders]" caption="Total Orders" measure="1" displayFolder="" measureGroup="Sales_Raw" count="0"/>
    <cacheHierarchy uniqueName="[Measures].[Total Cost]" caption="Total Cost" measure="1" displayFolder="" measureGroup="Sales_Raw" count="0"/>
    <cacheHierarchy uniqueName="[Measures].[Total Profit]" caption="Total Profit" measure="1" displayFolder="" measureGroup="Sales_Raw" count="0"/>
    <cacheHierarchy uniqueName="[Measures].[AOV]" caption="AOV" measure="1" displayFolder="" measureGroup="Sales_Raw" count="0"/>
    <cacheHierarchy uniqueName="[Measures].[Total Target]" caption="Total Target" measure="1" displayFolder="" measureGroup="Sales_Raw" count="0"/>
    <cacheHierarchy uniqueName="[Measures].[Pct of Target Achieved]" caption="Pct of Target Achieved" measure="1" displayFolder="" measureGroup="Sales_Raw" count="0"/>
    <cacheHierarchy uniqueName="[Measures].[Avg Discount %]" caption="Avg Discount %" measure="1" displayFolder="" measureGroup="Sales_Raw"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_Raw]" caption="__XL_Count Sales_Raw" measure="1" displayFolder="" measureGroup="Sales_Raw" count="0" hidden="1"/>
    <cacheHierarchy uniqueName="[Measures].[__XL_Count Targets_Monthly]" caption="__XL_Count Targets_Monthly" measure="1" displayFolder="" measureGroup="Targets_Monthly" count="0" hidden="1"/>
    <cacheHierarchy uniqueName="[Measures].[__XL_Count Regions]" caption="__XL_Count Regions" measure="1" displayFolder="" measureGroup="Regions" count="0" hidden="1"/>
    <cacheHierarchy uniqueName="[Measures].[__No measures defined]" caption="__No measures defined" measure="1" displayFolder="" count="0" hidden="1"/>
    <cacheHierarchy uniqueName="[Measures].[Count of OrderID]" caption="Count of OrderID" measure="1" displayFolder="" measureGroup="Sales_Raw" count="0" hidden="1">
      <extLst>
        <ext xmlns:x15="http://schemas.microsoft.com/office/spreadsheetml/2010/11/main" uri="{B97F6D7D-B522-45F9-BDA1-12C45D357490}">
          <x15:cacheHierarchy aggregatedColumn="12"/>
        </ext>
      </extLst>
    </cacheHierarchy>
    <cacheHierarchy uniqueName="[Measures].[Count of CustomerID]" caption="Count of CustomerID" measure="1" displayFolder="" measureGroup="Sales_Raw" count="0" hidden="1">
      <extLst>
        <ext xmlns:x15="http://schemas.microsoft.com/office/spreadsheetml/2010/11/main" uri="{B97F6D7D-B522-45F9-BDA1-12C45D357490}">
          <x15:cacheHierarchy aggregatedColumn="13"/>
        </ext>
      </extLst>
    </cacheHierarchy>
  </cacheHierarchies>
  <kpis count="0"/>
  <dimensions count="6">
    <dimension name="Customers" uniqueName="[Customers]" caption="Customers"/>
    <dimension measure="1" name="Measures" uniqueName="[Measures]" caption="Measures"/>
    <dimension name="Products" uniqueName="[Products]" caption="Products"/>
    <dimension name="Regions" uniqueName="[Regions]" caption="Regions"/>
    <dimension name="Sales_Raw" uniqueName="[Sales_Raw]" caption="Sales_Raw"/>
    <dimension name="Targets_Monthly" uniqueName="[Targets_Monthly]" caption="Targets_Monthly"/>
  </dimensions>
  <measureGroups count="5">
    <measureGroup name="Customers" caption="Customers"/>
    <measureGroup name="Products" caption="Products"/>
    <measureGroup name="Regions" caption="Regions"/>
    <measureGroup name="Sales_Raw" caption="Sales_Raw"/>
    <measureGroup name="Targets_Monthly" caption="Targets_Monthly"/>
  </measureGroups>
  <maps count="9">
    <map measureGroup="0" dimension="0"/>
    <map measureGroup="1" dimension="2"/>
    <map measureGroup="2" dimension="3"/>
    <map measureGroup="3" dimension="0"/>
    <map measureGroup="3" dimension="2"/>
    <map measureGroup="3" dimension="3"/>
    <map measureGroup="3" dimension="4"/>
    <map measureGroup="4" dimension="3"/>
    <map measureGroup="4" dimension="5"/>
  </maps>
  <extLst>
    <ext xmlns:x14="http://schemas.microsoft.com/office/spreadsheetml/2009/9/main" uri="{725AE2AE-9491-48be-B2B4-4EB974FC3084}">
      <x14:pivotCacheDefinition pivotCacheId="193396759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Tripathi" refreshedDate="46194.388154629632" backgroundQuery="1" createdVersion="8" refreshedVersion="8" minRefreshableVersion="3" recordCount="0" supportSubquery="1" supportAdvancedDrill="1" xr:uid="{D84F18E0-9F15-4680-9C6F-1A4ADC07CFD8}">
  <cacheSource type="external" connectionId="5">
    <extLst>
      <ext xmlns:x14="http://schemas.microsoft.com/office/spreadsheetml/2009/9/main" uri="{F057638F-6D5F-4e77-A914-E7F072B9BCA8}">
        <x14:sourceConnection name="ThisWorkbookDataModel"/>
      </ext>
    </extLst>
  </cacheSource>
  <cacheFields count="4">
    <cacheField name="[Sales_Raw].[DiscountPct].[DiscountPct]" caption="DiscountPct" numFmtId="0" hierarchy="18" level="1">
      <sharedItems containsSemiMixedTypes="0" containsString="0" containsNumber="1" containsInteger="1" minValue="0" maxValue="20" count="5">
        <n v="0"/>
        <n v="5"/>
        <n v="10"/>
        <n v="15"/>
        <n v="20"/>
      </sharedItems>
      <extLst>
        <ext xmlns:x15="http://schemas.microsoft.com/office/spreadsheetml/2010/11/main" uri="{4F2E5C28-24EA-4eb8-9CBF-B6C8F9C3D259}">
          <x15:cachedUniqueNames>
            <x15:cachedUniqueName index="0" name="[Sales_Raw].[DiscountPct].&amp;[0]"/>
            <x15:cachedUniqueName index="1" name="[Sales_Raw].[DiscountPct].&amp;[5]"/>
            <x15:cachedUniqueName index="2" name="[Sales_Raw].[DiscountPct].&amp;[10]"/>
            <x15:cachedUniqueName index="3" name="[Sales_Raw].[DiscountPct].&amp;[15]"/>
            <x15:cachedUniqueName index="4" name="[Sales_Raw].[DiscountPct].&amp;[20]"/>
          </x15:cachedUniqueNames>
        </ext>
      </extLst>
    </cacheField>
    <cacheField name="[Measures].[Total Revenue]" caption="Total Revenue" numFmtId="0" hierarchy="34" level="32767"/>
    <cacheField name="[Measures].[Total Orders]" caption="Total Orders" numFmtId="0" hierarchy="35" level="32767"/>
    <cacheField name="[Regions].[Region].[Region]" caption="Region" numFmtId="0" hierarchy="11" level="1">
      <sharedItems containsSemiMixedTypes="0" containsNonDate="0" containsString="0"/>
    </cacheField>
  </cacheFields>
  <cacheHierarchies count="5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CostPrice]" caption="CostPrice" attribute="1" defaultMemberUniqueName="[Products].[CostPrice].[All]" allUniqueName="[Products].[CostPrice].[All]" dimensionUniqueName="[Products]" displayFolder="" count="0" memberValueDatatype="5" unbalanced="0"/>
    <cacheHierarchy uniqueName="[Products].[SellingPrice]" caption="SellingPrice" attribute="1" defaultMemberUniqueName="[Products].[SellingPrice].[All]" allUniqueName="[Products].[SellingPrice].[All]" dimensionUniqueName="[Products]" displayFolder="" count="0" memberValueDatatype="5" unbalanced="0"/>
    <cacheHierarchy uniqueName="[Regions].[Region]" caption="Region" attribute="1" defaultMemberUniqueName="[Regions].[Region].[All]" allUniqueName="[Regions].[Region].[All]" dimensionUniqueName="[Regions]" displayFolder="" count="2" memberValueDatatype="130" unbalanced="0">
      <fieldsUsage count="2">
        <fieldUsage x="-1"/>
        <fieldUsage x="3"/>
      </fieldsUsage>
    </cacheHierarchy>
    <cacheHierarchy uniqueName="[Sales_Raw].[OrderID]" caption="OrderID" attribute="1" defaultMemberUniqueName="[Sales_Raw].[OrderID].[All]" allUniqueName="[Sales_Raw].[OrderID].[All]" dimensionUniqueName="[Sales_Raw]" displayFolder="" count="0" memberValueDatatype="130" unbalanced="0"/>
    <cacheHierarchy uniqueName="[Sales_Raw].[CustomerID]" caption="CustomerID" attribute="1" defaultMemberUniqueName="[Sales_Raw].[CustomerID].[All]" allUniqueName="[Sales_Raw].[CustomerID].[All]" dimensionUniqueName="[Sales_Raw]" displayFolder="" count="0" memberValueDatatype="130" unbalanced="0"/>
    <cacheHierarchy uniqueName="[Sales_Raw].[ProductID]" caption="ProductID" attribute="1" defaultMemberUniqueName="[Sales_Raw].[ProductID].[All]" allUniqueName="[Sales_Raw].[ProductID].[All]" dimensionUniqueName="[Sales_Raw]" displayFolder="" count="0" memberValueDatatype="130" unbalanced="0"/>
    <cacheHierarchy uniqueName="[Sales_Raw].[Quantity]" caption="Quantity" attribute="1" defaultMemberUniqueName="[Sales_Raw].[Quantity].[All]" allUniqueName="[Sales_Raw].[Quantity].[All]" dimensionUniqueName="[Sales_Raw]" displayFolder="" count="0" memberValueDatatype="20" unbalanced="0"/>
    <cacheHierarchy uniqueName="[Sales_Raw].[Region_raw]" caption="Region_raw" attribute="1" defaultMemberUniqueName="[Sales_Raw].[Region_raw].[All]" allUniqueName="[Sales_Raw].[Region_raw].[All]" dimensionUniqueName="[Sales_Raw]" displayFolder="" count="0" memberValueDatatype="130" unbalanced="0"/>
    <cacheHierarchy uniqueName="[Sales_Raw].[PaymentMethod]" caption="PaymentMethod" attribute="1" defaultMemberUniqueName="[Sales_Raw].[PaymentMethod].[All]" allUniqueName="[Sales_Raw].[PaymentMethod].[All]" dimensionUniqueName="[Sales_Raw]" displayFolder="" count="0" memberValueDatatype="130" unbalanced="0"/>
    <cacheHierarchy uniqueName="[Sales_Raw].[DiscountPct]" caption="DiscountPct" attribute="1" defaultMemberUniqueName="[Sales_Raw].[DiscountPct].[All]" allUniqueName="[Sales_Raw].[DiscountPct].[All]" dimensionUniqueName="[Sales_Raw]" displayFolder="" count="2" memberValueDatatype="20" unbalanced="0">
      <fieldsUsage count="2">
        <fieldUsage x="-1"/>
        <fieldUsage x="0"/>
      </fieldsUsage>
    </cacheHierarchy>
    <cacheHierarchy uniqueName="[Sales_Raw].[GrossAmount]" caption="GrossAmount" attribute="1" defaultMemberUniqueName="[Sales_Raw].[GrossAmount].[All]" allUniqueName="[Sales_Raw].[GrossAmount].[All]" dimensionUniqueName="[Sales_Raw]" displayFolder="" count="0" memberValueDatatype="5" unbalanced="0"/>
    <cacheHierarchy uniqueName="[Sales_Raw].[DiscountAmount]" caption="DiscountAmount" attribute="1" defaultMemberUniqueName="[Sales_Raw].[DiscountAmount].[All]" allUniqueName="[Sales_Raw].[DiscountAmount].[All]" dimensionUniqueName="[Sales_Raw]" displayFolder="" count="0" memberValueDatatype="5" unbalanced="0"/>
    <cacheHierarchy uniqueName="[Sales_Raw].[NetAmount]" caption="NetAmount" attribute="1" defaultMemberUniqueName="[Sales_Raw].[NetAmount].[All]" allUniqueName="[Sales_Raw].[NetAmount].[All]" dimensionUniqueName="[Sales_Raw]" displayFolder="" count="0" memberValueDatatype="5" unbalanced="0"/>
    <cacheHierarchy uniqueName="[Sales_Raw].[OrderStatus]" caption="OrderStatus" attribute="1" defaultMemberUniqueName="[Sales_Raw].[OrderStatus].[All]" allUniqueName="[Sales_Raw].[OrderStatus].[All]" dimensionUniqueName="[Sales_Raw]" displayFolder="" count="0" memberValueDatatype="130" unbalanced="0"/>
    <cacheHierarchy uniqueName="[Sales_Raw].[OrderDate]" caption="OrderDate" attribute="1" time="1" defaultMemberUniqueName="[Sales_Raw].[OrderDate].[All]" allUniqueName="[Sales_Raw].[OrderDate].[All]" dimensionUniqueName="[Sales_Raw]" displayFolder="" count="0" memberValueDatatype="7" unbalanced="0"/>
    <cacheHierarchy uniqueName="[Sales_Raw].[Year]" caption="Year" attribute="1" defaultMemberUniqueName="[Sales_Raw].[Year].[All]" allUniqueName="[Sales_Raw].[Year].[All]" dimensionUniqueName="[Sales_Raw]" displayFolder="" count="2" memberValueDatatype="20" unbalanced="0"/>
    <cacheHierarchy uniqueName="[Sales_Raw].[MonthYear]" caption="MonthYear" attribute="1" defaultMemberUniqueName="[Sales_Raw].[MonthYear].[All]" allUniqueName="[Sales_Raw].[MonthYear].[All]" dimensionUniqueName="[Sales_Raw]" displayFolder="" count="0" memberValueDatatype="130" unbalanced="0"/>
    <cacheHierarchy uniqueName="[Sales_Raw].[MonthYearSort]" caption="MonthYearSort" attribute="1" defaultMemberUniqueName="[Sales_Raw].[MonthYearSort].[All]" allUniqueName="[Sales_Raw].[MonthYearSort].[All]" dimensionUniqueName="[Sales_Raw]" displayFolder="" count="0" memberValueDatatype="20" unbalanced="0"/>
    <cacheHierarchy uniqueName="[Sales_Raw].[OrderDate (Year)]" caption="OrderDate (Year)" attribute="1" defaultMemberUniqueName="[Sales_Raw].[OrderDate (Year)].[All]" allUniqueName="[Sales_Raw].[OrderDate (Year)].[All]" dimensionUniqueName="[Sales_Raw]" displayFolder="" count="0" memberValueDatatype="130" unbalanced="0"/>
    <cacheHierarchy uniqueName="[Sales_Raw].[OrderDate (Quarter)]" caption="OrderDate (Quarter)" attribute="1" defaultMemberUniqueName="[Sales_Raw].[OrderDate (Quarter)].[All]" allUniqueName="[Sales_Raw].[OrderDate (Quarter)].[All]" dimensionUniqueName="[Sales_Raw]" displayFolder="" count="0" memberValueDatatype="130" unbalanced="0"/>
    <cacheHierarchy uniqueName="[Sales_Raw].[OrderDate (Month)]" caption="OrderDate (Month)" attribute="1" defaultMemberUniqueName="[Sales_Raw].[OrderDate (Month)].[All]" allUniqueName="[Sales_Raw].[OrderDate (Month)].[All]" dimensionUniqueName="[Sales_Raw]" displayFolder="" count="0" memberValueDatatype="130" unbalanced="0"/>
    <cacheHierarchy uniqueName="[Targets_Monthly].[Region]" caption="Region" attribute="1" defaultMemberUniqueName="[Targets_Monthly].[Region].[All]" allUniqueName="[Targets_Monthly].[Region].[All]" dimensionUniqueName="[Targets_Monthly]" displayFolder="" count="0" memberValueDatatype="130" unbalanced="0"/>
    <cacheHierarchy uniqueName="[Targets_Monthly].[Attribute]" caption="Attribute" attribute="1" defaultMemberUniqueName="[Targets_Monthly].[Attribute].[All]" allUniqueName="[Targets_Monthly].[Attribute].[All]" dimensionUniqueName="[Targets_Monthly]" displayFolder="" count="0" memberValueDatatype="130" unbalanced="0"/>
    <cacheHierarchy uniqueName="[Targets_Monthly].[Value]" caption="Value" attribute="1" defaultMemberUniqueName="[Targets_Monthly].[Value].[All]" allUniqueName="[Targets_Monthly].[Value].[All]" dimensionUniqueName="[Targets_Monthly]" displayFolder="" count="0" memberValueDatatype="20" unbalanced="0"/>
    <cacheHierarchy uniqueName="[Sales_Raw].[OrderDate (Month Index)]" caption="OrderDate (Month Index)" attribute="1" defaultMemberUniqueName="[Sales_Raw].[OrderDate (Month Index)].[All]" allUniqueName="[Sales_Raw].[OrderDate (Month Index)].[All]" dimensionUniqueName="[Sales_Raw]" displayFolder="" count="0" memberValueDatatype="20" unbalanced="0" hidden="1"/>
    <cacheHierarchy uniqueName="[Measures].[Total Revenue]" caption="Total Revenue" measure="1" displayFolder="" measureGroup="Sales_Raw" count="0" oneField="1">
      <fieldsUsage count="1">
        <fieldUsage x="1"/>
      </fieldsUsage>
    </cacheHierarchy>
    <cacheHierarchy uniqueName="[Measures].[Total Orders]" caption="Total Orders" measure="1" displayFolder="" measureGroup="Sales_Raw" count="0" oneField="1">
      <fieldsUsage count="1">
        <fieldUsage x="2"/>
      </fieldsUsage>
    </cacheHierarchy>
    <cacheHierarchy uniqueName="[Measures].[Total Cost]" caption="Total Cost" measure="1" displayFolder="" measureGroup="Sales_Raw" count="0"/>
    <cacheHierarchy uniqueName="[Measures].[Total Profit]" caption="Total Profit" measure="1" displayFolder="" measureGroup="Sales_Raw" count="0"/>
    <cacheHierarchy uniqueName="[Measures].[AOV]" caption="AOV" measure="1" displayFolder="" measureGroup="Sales_Raw" count="0"/>
    <cacheHierarchy uniqueName="[Measures].[Total Target]" caption="Total Target" measure="1" displayFolder="" measureGroup="Sales_Raw" count="0"/>
    <cacheHierarchy uniqueName="[Measures].[Pct of Target Achieved]" caption="Pct of Target Achieved" measure="1" displayFolder="" measureGroup="Sales_Raw" count="0"/>
    <cacheHierarchy uniqueName="[Measures].[Avg Discount %]" caption="Avg Discount %" measure="1" displayFolder="" measureGroup="Sales_Raw"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_Raw]" caption="__XL_Count Sales_Raw" measure="1" displayFolder="" measureGroup="Sales_Raw" count="0" hidden="1"/>
    <cacheHierarchy uniqueName="[Measures].[__XL_Count Targets_Monthly]" caption="__XL_Count Targets_Monthly" measure="1" displayFolder="" measureGroup="Targets_Monthly" count="0" hidden="1"/>
    <cacheHierarchy uniqueName="[Measures].[__XL_Count Regions]" caption="__XL_Count Regions" measure="1" displayFolder="" measureGroup="Regions" count="0" hidden="1"/>
    <cacheHierarchy uniqueName="[Measures].[__No measures defined]" caption="__No measures defined" measure="1" displayFolder="" count="0" hidden="1"/>
    <cacheHierarchy uniqueName="[Measures].[Count of OrderID]" caption="Count of OrderID" measure="1" displayFolder="" measureGroup="Sales_Raw" count="0" hidden="1">
      <extLst>
        <ext xmlns:x15="http://schemas.microsoft.com/office/spreadsheetml/2010/11/main" uri="{B97F6D7D-B522-45F9-BDA1-12C45D357490}">
          <x15:cacheHierarchy aggregatedColumn="12"/>
        </ext>
      </extLst>
    </cacheHierarchy>
    <cacheHierarchy uniqueName="[Measures].[Count of CustomerID]" caption="Count of CustomerID" measure="1" displayFolder="" measureGroup="Sales_Raw" count="0" hidden="1">
      <extLst>
        <ext xmlns:x15="http://schemas.microsoft.com/office/spreadsheetml/2010/11/main" uri="{B97F6D7D-B522-45F9-BDA1-12C45D357490}">
          <x15:cacheHierarchy aggregatedColumn="13"/>
        </ext>
      </extLst>
    </cacheHierarchy>
  </cacheHierarchies>
  <kpis count="0"/>
  <dimensions count="6">
    <dimension name="Customers" uniqueName="[Customers]" caption="Customers"/>
    <dimension measure="1" name="Measures" uniqueName="[Measures]" caption="Measures"/>
    <dimension name="Products" uniqueName="[Products]" caption="Products"/>
    <dimension name="Regions" uniqueName="[Regions]" caption="Regions"/>
    <dimension name="Sales_Raw" uniqueName="[Sales_Raw]" caption="Sales_Raw"/>
    <dimension name="Targets_Monthly" uniqueName="[Targets_Monthly]" caption="Targets_Monthly"/>
  </dimensions>
  <measureGroups count="5">
    <measureGroup name="Customers" caption="Customers"/>
    <measureGroup name="Products" caption="Products"/>
    <measureGroup name="Regions" caption="Regions"/>
    <measureGroup name="Sales_Raw" caption="Sales_Raw"/>
    <measureGroup name="Targets_Monthly" caption="Targets_Monthly"/>
  </measureGroups>
  <maps count="9">
    <map measureGroup="0" dimension="0"/>
    <map measureGroup="1" dimension="2"/>
    <map measureGroup="2" dimension="3"/>
    <map measureGroup="3" dimension="0"/>
    <map measureGroup="3" dimension="2"/>
    <map measureGroup="3" dimension="3"/>
    <map measureGroup="3" dimension="4"/>
    <map measureGroup="4" dimension="3"/>
    <map measureGroup="4" dimension="5"/>
  </maps>
  <extLst>
    <ext xmlns:x14="http://schemas.microsoft.com/office/spreadsheetml/2009/9/main" uri="{725AE2AE-9491-48be-B2B4-4EB974FC3084}">
      <x14:pivotCacheDefinition pivotCacheId="77034200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E886A3-8E67-4902-B932-EDE3C32E3CFC}" name="PivotChartTable11" cacheId="6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C7"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
      </x15:pivotTableServerFormats>
    </ext>
    <ext xmlns:x15="http://schemas.microsoft.com/office/spreadsheetml/2010/11/main" uri="{44433962-1CF7-4059-B4EE-95C3D5FFCF73}">
      <x15:pivotTableData rowCount="6" columnCount="2" cacheId="770342009">
        <x15:pivotRow count="2">
          <x15:c>
            <x15:v>168471.47</x15:v>
            <x15:x in="0"/>
          </x15:c>
          <x15:c>
            <x15:v>1039</x15:v>
            <x15:x in="0"/>
          </x15:c>
        </x15:pivotRow>
        <x15:pivotRow count="2">
          <x15:c>
            <x15:v>99697.33</x15:v>
            <x15:x in="0"/>
          </x15:c>
          <x15:c>
            <x15:v>650</x15:v>
            <x15:x in="0"/>
          </x15:c>
        </x15:pivotRow>
        <x15:pivotRow count="2">
          <x15:c>
            <x15:v>67721.23</x15:v>
            <x15:x in="0"/>
          </x15:c>
          <x15:c>
            <x15:v>383</x15:v>
            <x15:x in="0"/>
          </x15:c>
        </x15:pivotRow>
        <x15:pivotRow count="2">
          <x15:c>
            <x15:v>43308.11</x15:v>
            <x15:x in="0"/>
          </x15:c>
          <x15:c>
            <x15:v>321</x15:v>
            <x15:x in="0"/>
          </x15:c>
        </x15:pivotRow>
        <x15:pivotRow count="2">
          <x15:c>
            <x15:v>26422.3</x15:v>
            <x15:x in="0"/>
          </x15:c>
          <x15:c>
            <x15:v>207</x15:v>
            <x15:x in="0"/>
          </x15:c>
        </x15:pivotRow>
        <x15:pivotRow count="2">
          <x15:c>
            <x15:v>405620.44</x15:v>
            <x15:x in="0"/>
          </x15:c>
          <x15:c>
            <x15:v>2600</x15:v>
            <x15:x in="0"/>
          </x15:c>
        </x15:pivotRow>
      </x15:pivotTableData>
    </ext>
    <ext xmlns:x15="http://schemas.microsoft.com/office/spreadsheetml/2010/11/main" uri="{E67621CE-5B39-4880-91FE-76760E9C1902}">
      <x15:pivotTableUISettings>
        <x15:activeTabTopLevelEntity name="[Sale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32A45C-A554-442F-ABAB-54403E010BA2}" name="PivotChartTable10" cacheId="6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1" cacheId="1933967592">
        <x15:pivotRow count="1">
          <x15:c>
            <x15:v>76597.440000000002</x15:v>
          </x15:c>
        </x15:pivotRow>
        <x15:pivotRow count="1">
          <x15:c>
            <x15:v>109624.07</x15:v>
          </x15:c>
        </x15:pivotRow>
        <x15:pivotRow count="1">
          <x15:c>
            <x15:v>219398.93</x15:v>
          </x15:c>
        </x15:pivotRow>
        <x15:pivotRow count="1">
          <x15:c>
            <x15:v>405620.44</x15:v>
          </x15:c>
        </x15:pivotRow>
      </x15:pivotTableData>
    </ext>
    <ext xmlns:x15="http://schemas.microsoft.com/office/spreadsheetml/2010/11/main" uri="{E67621CE-5B39-4880-91FE-76760E9C1902}">
      <x15:pivotTableUISettings>
        <x15:activeTabTopLevelEntity name="[Customers]"/>
        <x15:activeTabTopLevelEntity name="[Sale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2BD3F4-E62B-4776-8DC2-7F516C14E779}" name="PivotChartTable9" cacheId="6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195277581">
        <x15:pivotRow count="1">
          <x15:c>
            <x15:v>379</x15:v>
          </x15:c>
        </x15:pivotRow>
        <x15:pivotRow count="1">
          <x15:c>
            <x15:v>1457</x15:v>
          </x15:c>
        </x15:pivotRow>
        <x15:pivotRow count="1">
          <x15:c>
            <x15:v>372</x15:v>
          </x15:c>
        </x15:pivotRow>
        <x15:pivotRow count="1">
          <x15:c>
            <x15:v>392</x15:v>
          </x15:c>
        </x15:pivotRow>
        <x15:pivotRow count="1">
          <x15:c>
            <x15:v>2600</x15:v>
          </x15:c>
        </x15:pivotRow>
      </x15:pivotTableData>
    </ext>
    <ext xmlns:x15="http://schemas.microsoft.com/office/spreadsheetml/2010/11/main" uri="{E67621CE-5B39-4880-91FE-76760E9C1902}">
      <x15:pivotTableUISettings>
        <x15:activeTabTopLevelEntity name="[Sale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0FFA68-4730-4379-87F0-E94C95CD5F8B}" name="PivotChartTable8" cacheId="5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2"/>
    </i>
    <i>
      <x/>
    </i>
    <i>
      <x v="4"/>
    </i>
    <i>
      <x v="5"/>
    </i>
    <i>
      <x v="9"/>
    </i>
    <i>
      <x v="3"/>
    </i>
    <i>
      <x v="6"/>
    </i>
    <i>
      <x v="7"/>
    </i>
    <i>
      <x v="8"/>
    </i>
    <i>
      <x v="1"/>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filters count="1">
    <filter fld="0" type="count" id="1" iMeasureHier="34">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1" columnCount="1" cacheId="1823633517">
        <x15:pivotRow count="1">
          <x15:c>
            <x15:v>6817.58</x15:v>
          </x15:c>
        </x15:pivotRow>
        <x15:pivotRow count="1">
          <x15:c>
            <x15:v>6878.43</x15:v>
          </x15:c>
        </x15:pivotRow>
        <x15:pivotRow count="1">
          <x15:c>
            <x15:v>7325.78</x15:v>
          </x15:c>
        </x15:pivotRow>
        <x15:pivotRow count="1">
          <x15:c>
            <x15:v>7720.69</x15:v>
          </x15:c>
        </x15:pivotRow>
        <x15:pivotRow count="1">
          <x15:c>
            <x15:v>7732.36</x15:v>
          </x15:c>
        </x15:pivotRow>
        <x15:pivotRow count="1">
          <x15:c>
            <x15:v>7990.48</x15:v>
          </x15:c>
        </x15:pivotRow>
        <x15:pivotRow count="1">
          <x15:c>
            <x15:v>8002.77</x15:v>
          </x15:c>
        </x15:pivotRow>
        <x15:pivotRow count="1">
          <x15:c>
            <x15:v>8269.8700000000008</x15:v>
          </x15:c>
        </x15:pivotRow>
        <x15:pivotRow count="1">
          <x15:c>
            <x15:v>9705.51</x15:v>
          </x15:c>
        </x15:pivotRow>
        <x15:pivotRow count="1">
          <x15:c>
            <x15:v>12535.19</x15:v>
          </x15:c>
        </x15:pivotRow>
        <x15:pivotRow count="1">
          <x15:c>
            <x15:v>82978.66</x15:v>
          </x15:c>
        </x15:pivotRow>
      </x15:pivotTableData>
    </ext>
    <ext xmlns:x15="http://schemas.microsoft.com/office/spreadsheetml/2010/11/main" uri="{E67621CE-5B39-4880-91FE-76760E9C1902}">
      <x15:pivotTableUISettings>
        <x15:activeTabTopLevelEntity name="[Products]"/>
        <x15:activeTabTopLevelEntity name="[Sale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2EC39A-D279-42F9-8CC8-B2F8E157FE93}" name="PivotChartTable7" cacheId="5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7"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1" cacheId="660074355">
        <x15:pivotRow count="1">
          <x15:c>
            <x15:v>88298.08</x15:v>
          </x15:c>
        </x15:pivotRow>
        <x15:pivotRow count="1">
          <x15:c>
            <x15:v>94837.47</x15:v>
          </x15:c>
        </x15:pivotRow>
        <x15:pivotRow count="1">
          <x15:c>
            <x15:v>66340.639999999999</x15:v>
          </x15:c>
        </x15:pivotRow>
        <x15:pivotRow count="1">
          <x15:c>
            <x15:v>76056.47</x15:v>
          </x15:c>
        </x15:pivotRow>
        <x15:pivotRow count="1">
          <x15:c>
            <x15:v>80087.78</x15:v>
          </x15:c>
        </x15:pivotRow>
        <x15:pivotRow count="1">
          <x15:c>
            <x15:v>405620.44</x15:v>
          </x15:c>
        </x15:pivotRow>
      </x15:pivotTableData>
    </ext>
    <ext xmlns:x15="http://schemas.microsoft.com/office/spreadsheetml/2010/11/main" uri="{E67621CE-5B39-4880-91FE-76760E9C1902}">
      <x15:pivotTableUISettings>
        <x15:activeTabTopLevelEntity name="[Regions]"/>
        <x15:activeTabTopLevelEntity name="[Sale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D43B6D-7F54-490E-B5EC-491EBF24874E}" name="PivotChartTable6" cacheId="59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1:B8" firstHeaderRow="1" firstDataRow="1" firstDataCol="1"/>
  <pivotFields count="3">
    <pivotField axis="axisRow" allDrilled="1" subtotalTop="0" showAll="0" sortType="ascending" dataSourceSort="1"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i>
    <i>
      <x v="1"/>
    </i>
    <i>
      <x v="5"/>
    </i>
    <i>
      <x v="2"/>
    </i>
    <i>
      <x v="4"/>
    </i>
    <i>
      <x v="3"/>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1" cacheId="1152850234">
        <x15:pivotRow count="1">
          <x15:c>
            <x15:v>46717.46</x15:v>
          </x15:c>
        </x15:pivotRow>
        <x15:pivotRow count="1">
          <x15:c>
            <x15:v>55825.07</x15:v>
          </x15:c>
        </x15:pivotRow>
        <x15:pivotRow count="1">
          <x15:c>
            <x15:v>57549.99</x15:v>
          </x15:c>
        </x15:pivotRow>
        <x15:pivotRow count="1">
          <x15:c>
            <x15:v>60875.32</x15:v>
          </x15:c>
        </x15:pivotRow>
        <x15:pivotRow count="1">
          <x15:c>
            <x15:v>89271.28</x15:v>
          </x15:c>
        </x15:pivotRow>
        <x15:pivotRow count="1">
          <x15:c>
            <x15:v>95381.32</x15:v>
          </x15:c>
        </x15:pivotRow>
        <x15:pivotRow count="1">
          <x15:c>
            <x15:v>405620.44</x15:v>
          </x15:c>
        </x15:pivotRow>
      </x15:pivotTableData>
    </ext>
    <ext xmlns:x15="http://schemas.microsoft.com/office/spreadsheetml/2010/11/main" uri="{E67621CE-5B39-4880-91FE-76760E9C1902}">
      <x15:pivotTableUISettings>
        <x15:activeTabTopLevelEntity name="[Products]"/>
        <x15:activeTabTopLevelEntity name="[Sales_Raw]"/>
        <x15:activeTabTopLevelEntity name="[Region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6B9FE2-C2CD-4121-A613-98CA159950DD}" name="PivotChartTable3" cacheId="5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26" firstHeaderRow="1" firstDataRow="1" firstDataCol="1"/>
  <pivotFields count="3">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5" columnCount="1" cacheId="790707156">
        <x15:pivotRow count="1">
          <x15:c>
            <x15:v>15346.8</x15:v>
          </x15:c>
        </x15:pivotRow>
        <x15:pivotRow count="1">
          <x15:c>
            <x15:v>14009.98</x15:v>
          </x15:c>
        </x15:pivotRow>
        <x15:pivotRow count="1">
          <x15:c>
            <x15:v>21000.39</x15:v>
          </x15:c>
        </x15:pivotRow>
        <x15:pivotRow count="1">
          <x15:c>
            <x15:v>20597.46</x15:v>
          </x15:c>
        </x15:pivotRow>
        <x15:pivotRow count="1">
          <x15:c>
            <x15:v>19162.599999999999</x15:v>
          </x15:c>
        </x15:pivotRow>
        <x15:pivotRow count="1">
          <x15:c>
            <x15:v>16060.48</x15:v>
          </x15:c>
        </x15:pivotRow>
        <x15:pivotRow count="1">
          <x15:c>
            <x15:v>17903.689999999999</x15:v>
          </x15:c>
        </x15:pivotRow>
        <x15:pivotRow count="1">
          <x15:c>
            <x15:v>16891.759999999998</x15:v>
          </x15:c>
        </x15:pivotRow>
        <x15:pivotRow count="1">
          <x15:c>
            <x15:v>14961.39</x15:v>
          </x15:c>
        </x15:pivotRow>
        <x15:pivotRow count="1">
          <x15:c>
            <x15:v>16700.14</x15:v>
          </x15:c>
        </x15:pivotRow>
        <x15:pivotRow count="1">
          <x15:c>
            <x15:v>18600.63</x15:v>
          </x15:c>
        </x15:pivotRow>
        <x15:pivotRow count="1">
          <x15:c>
            <x15:v>14464.71</x15:v>
          </x15:c>
        </x15:pivotRow>
        <x15:pivotRow count="1">
          <x15:c>
            <x15:v>18713.419999999998</x15:v>
          </x15:c>
        </x15:pivotRow>
        <x15:pivotRow count="1">
          <x15:c>
            <x15:v>13303.8</x15:v>
          </x15:c>
        </x15:pivotRow>
        <x15:pivotRow count="1">
          <x15:c>
            <x15:v>16408.52</x15:v>
          </x15:c>
        </x15:pivotRow>
        <x15:pivotRow count="1">
          <x15:c>
            <x15:v>17803.55</x15:v>
          </x15:c>
        </x15:pivotRow>
        <x15:pivotRow count="1">
          <x15:c>
            <x15:v>19917.73</x15:v>
          </x15:c>
        </x15:pivotRow>
        <x15:pivotRow count="1">
          <x15:c>
            <x15:v>15681.8</x15:v>
          </x15:c>
        </x15:pivotRow>
        <x15:pivotRow count="1">
          <x15:c>
            <x15:v>18786.330000000002</x15:v>
          </x15:c>
        </x15:pivotRow>
        <x15:pivotRow count="1">
          <x15:c>
            <x15:v>20692</x15:v>
          </x15:c>
        </x15:pivotRow>
        <x15:pivotRow count="1">
          <x15:c>
            <x15:v>15697.07</x15:v>
          </x15:c>
        </x15:pivotRow>
        <x15:pivotRow count="1">
          <x15:c>
            <x15:v>16668.37</x15:v>
          </x15:c>
        </x15:pivotRow>
        <x15:pivotRow count="1">
          <x15:c>
            <x15:v>15609.74</x15:v>
          </x15:c>
        </x15:pivotRow>
        <x15:pivotRow count="1">
          <x15:c>
            <x15:v>10638.08</x15:v>
          </x15:c>
        </x15:pivotRow>
        <x15:pivotRow count="1">
          <x15:c>
            <x15:v>405620.44</x15:v>
          </x15:c>
        </x15:pivotRow>
      </x15:pivotTableData>
    </ext>
    <ext xmlns:x15="http://schemas.microsoft.com/office/spreadsheetml/2010/11/main" uri="{E67621CE-5B39-4880-91FE-76760E9C1902}">
      <x15:pivotTableUISettings>
        <x15:activeTabTopLevelEntity name="[Sales_Raw]"/>
        <x15:activeTabTopLevelEntity name="[Products]"/>
        <x15:activeTabTopLevelEntity name="[Region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5859FB9-F2E6-4A35-A229-7709E42D5AC3}" sourceName="[Products].[Category]">
  <data>
    <olap pivotCacheId="329218578">
      <levels count="2">
        <level uniqueName="[Products].[Category].[(All)]" sourceCaption="(All)" count="0"/>
        <level uniqueName="[Products].[Category].[Category]" sourceCaption="Category" count="6">
          <ranges>
            <range startItem="0">
              <i n="[Products].[Category].&amp;[Beauty &amp; Personal Care]" c="Beauty &amp; Personal Care"/>
              <i n="[Products].[Category].&amp;[Books &amp; Stationery]" c="Books &amp; Stationery"/>
              <i n="[Products].[Category].&amp;[Electronics]" c="Electronics"/>
              <i n="[Products].[Category].&amp;[Fashion]" c="Fashion"/>
              <i n="[Products].[Category].&amp;[Home &amp; Kitchen]" c="Home &amp; Kitchen"/>
              <i n="[Products].[Category].&amp;[Sports &amp; Fitness]" c="Sports &amp; Fitness"/>
            </range>
          </ranges>
        </level>
      </levels>
      <selections count="1">
        <selection n="[Products].[Category].[All]"/>
      </selections>
    </olap>
  </data>
  <extLst>
    <x:ext xmlns:x15="http://schemas.microsoft.com/office/spreadsheetml/2010/11/main" uri="{03082B11-2C62-411c-B77F-237D8FCFBE4C}">
      <x15:slicerCachePivotTables>
        <pivotTable tabId="4294967295" name="PivotChartTable3"/>
        <pivotTable tabId="4294967295" name="PivotChartTable6"/>
        <pivotTable tabId="4294967295" name="PivotChartTable7"/>
        <pivotTable tabId="4294967295" name="PivotChartTable8"/>
        <pivotTable tabId="4294967295" name="PivotChartTable9"/>
        <pivotTable tabId="4294967295" name="PivotChartTable10"/>
        <pivotTable tabId="4294967295" name="PivotChartTable11"/>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DD868BE-D0AD-4651-8E6A-07BA3373471B}" sourceName="[Regions].[Region]">
  <data>
    <olap pivotCacheId="329218578">
      <levels count="2">
        <level uniqueName="[Regions].[Region].[(All)]" sourceCaption="(All)" count="0"/>
        <level uniqueName="[Regions].[Region].[Region]" sourceCaption="Region" count="5">
          <ranges>
            <range startItem="0">
              <i n="[Regions].[Region].&amp;[Central]" c="Central"/>
              <i n="[Regions].[Region].&amp;[East]" c="East"/>
              <i n="[Regions].[Region].&amp;[North]" c="North"/>
              <i n="[Regions].[Region].&amp;[South]" c="South"/>
              <i n="[Regions].[Region].&amp;[West]" c="West"/>
            </range>
          </ranges>
        </level>
      </levels>
      <selections count="1">
        <selection n="[Regions].[Region].[All]"/>
      </selections>
    </olap>
  </data>
  <extLst>
    <x:ext xmlns:x15="http://schemas.microsoft.com/office/spreadsheetml/2010/11/main" uri="{03082B11-2C62-411c-B77F-237D8FCFBE4C}">
      <x15:slicerCachePivotTables>
        <pivotTable tabId="4294967295" name="PivotChartTable3"/>
        <pivotTable tabId="4294967295" name="PivotChartTable6"/>
        <pivotTable tabId="4294967295" name="PivotChartTable7"/>
        <pivotTable tabId="4294967295" name="PivotChartTable8"/>
        <pivotTable tabId="4294967295" name="PivotChartTable9"/>
        <pivotTable tabId="4294967295" name="PivotChartTable10"/>
        <pivotTable tabId="4294967295" name="PivotChartTable11"/>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AC404D1-424D-4C72-A89D-E6EBAE690571}" sourceName="[Customers].[Segment]">
  <data>
    <olap pivotCacheId="329218578">
      <levels count="2">
        <level uniqueName="[Customers].[Segment].[(All)]" sourceCaption="(All)" count="0"/>
        <level uniqueName="[Customers].[Segment].[Segment]" sourceCaption="Segment" count="3">
          <ranges>
            <range startItem="0">
              <i n="[Customers].[Segment].&amp;[New]" c="New"/>
              <i n="[Customers].[Segment].&amp;[Premium]" c="Premium"/>
              <i n="[Customers].[Segment].&amp;[Regular]" c="Regular"/>
            </range>
          </ranges>
        </level>
      </levels>
      <selections count="1">
        <selection n="[Customers].[Segment].[All]"/>
      </selections>
    </olap>
  </data>
  <extLst>
    <x:ext xmlns:x15="http://schemas.microsoft.com/office/spreadsheetml/2010/11/main" uri="{03082B11-2C62-411c-B77F-237D8FCFBE4C}">
      <x15:slicerCachePivotTables>
        <pivotTable tabId="4294967295" name="PivotChartTable3"/>
        <pivotTable tabId="4294967295" name="PivotChartTable6"/>
        <pivotTable tabId="4294967295" name="PivotChartTable7"/>
        <pivotTable tabId="4294967295" name="PivotChartTable8"/>
        <pivotTable tabId="4294967295" name="PivotChartTable9"/>
        <pivotTable tabId="4294967295" name="PivotChartTable10"/>
        <pivotTable tabId="4294967295" name="PivotChartTable11"/>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26F48F9-7EFE-46A0-A781-E665C56D442B}" sourceName="[Sales_Raw].[Year]">
  <data>
    <olap pivotCacheId="329218578">
      <levels count="2">
        <level uniqueName="[Sales_Raw].[Year].[(All)]" sourceCaption="(All)" count="0"/>
        <level uniqueName="[Sales_Raw].[Year].[Year]" sourceCaption="Year" count="2">
          <ranges>
            <range startItem="0">
              <i n="[Sales_Raw].[Year].&amp;[2024]" c="2024"/>
              <i n="[Sales_Raw].[Year].&amp;[2025]" c="2025"/>
            </range>
          </ranges>
        </level>
      </levels>
      <selections count="1">
        <selection n="[Sales_Raw].[Year].[All]"/>
      </selections>
    </olap>
  </data>
  <extLst>
    <x:ext xmlns:x15="http://schemas.microsoft.com/office/spreadsheetml/2010/11/main" uri="{03082B11-2C62-411c-B77F-237D8FCFBE4C}">
      <x15:slicerCachePivotTables>
        <pivotTable tabId="4294967295" name="PivotChartTable3"/>
        <pivotTable tabId="4294967295" name="PivotChartTable6"/>
        <pivotTable tabId="4294967295" name="PivotChartTable7"/>
        <pivotTable tabId="4294967295" name="PivotChartTable8"/>
        <pivotTable tabId="4294967295" name="PivotChartTable9"/>
        <pivotTable tabId="4294967295" name="PivotChartTable10"/>
        <pivotTable tabId="4294967295" name="PivotChartTable11"/>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DC82E13-5412-4B84-8857-9FAB1267F6DB}" cache="Slicer_Category" caption="Category" level="1" rowHeight="241300"/>
  <slicer name="Region" xr10:uid="{8FF64107-B551-4689-9556-925B256387F1}" cache="Slicer_Region" caption="Region" level="1" rowHeight="241300"/>
  <slicer name="Segment" xr10:uid="{0DE58411-4104-40EA-B3A2-C7E33968C758}" cache="Slicer_Segment" caption="Segment" level="1" rowHeight="241300"/>
  <slicer name="Year" xr10:uid="{44250935-B8FD-47D1-BC16-1480CE8B4541}" cache="Slicer_Year" caption="Yea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D6D486D8-9C14-4242-9758-2959FD211B4C}" cache="Slicer_Category" caption="Category" level="1" rowHeight="241300"/>
  <slicer name="Region 1" xr10:uid="{AB2A0E9C-BF5C-47D5-97AA-E484B31F741C}" cache="Slicer_Region" caption="Region" level="1" rowHeight="241300"/>
  <slicer name="Segment 1" xr10:uid="{7E1DD640-3FA7-47CD-A234-DB88961BDBF1}" cache="Slicer_Segment" caption="Segment" level="1" rowHeight="241300"/>
  <slicer name="Year 1" xr10:uid="{D0BFC60E-9E1B-4985-A3BE-6B7A4EDDEF2B}" cache="Slicer_Year" caption="Year"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E879-705C-4251-BB4B-8FFABA896F87}">
  <sheetPr>
    <tabColor rgb="FFFFC000"/>
  </sheetPr>
  <dimension ref="A1:O18"/>
  <sheetViews>
    <sheetView showGridLines="0" workbookViewId="0">
      <selection activeCell="Q8" sqref="Q8"/>
    </sheetView>
  </sheetViews>
  <sheetFormatPr defaultRowHeight="14.5" x14ac:dyDescent="0.35"/>
  <sheetData>
    <row r="1" spans="1:15" x14ac:dyDescent="0.35">
      <c r="A1" s="44" t="s">
        <v>5</v>
      </c>
      <c r="B1" s="44"/>
      <c r="C1" s="44"/>
      <c r="D1" s="44"/>
      <c r="E1" s="44"/>
      <c r="F1" s="44"/>
      <c r="G1" s="44"/>
      <c r="H1" s="44"/>
      <c r="I1" s="44"/>
      <c r="J1" s="44"/>
      <c r="K1" s="44"/>
      <c r="L1" s="44"/>
      <c r="M1" s="44"/>
      <c r="N1" s="44"/>
      <c r="O1" s="44"/>
    </row>
    <row r="2" spans="1:15" x14ac:dyDescent="0.35">
      <c r="A2" s="44"/>
      <c r="B2" s="44"/>
      <c r="C2" s="44"/>
      <c r="D2" s="44"/>
      <c r="E2" s="44"/>
      <c r="F2" s="44"/>
      <c r="G2" s="44"/>
      <c r="H2" s="44"/>
      <c r="I2" s="44"/>
      <c r="J2" s="44"/>
      <c r="K2" s="44"/>
      <c r="L2" s="44"/>
      <c r="M2" s="44"/>
      <c r="N2" s="44"/>
      <c r="O2" s="44"/>
    </row>
    <row r="3" spans="1:15" x14ac:dyDescent="0.35">
      <c r="A3" s="44"/>
      <c r="B3" s="44"/>
      <c r="C3" s="44"/>
      <c r="D3" s="44"/>
      <c r="E3" s="44"/>
      <c r="F3" s="44"/>
      <c r="G3" s="44"/>
      <c r="H3" s="44"/>
      <c r="I3" s="44"/>
      <c r="J3" s="44"/>
      <c r="K3" s="44"/>
      <c r="L3" s="44"/>
      <c r="M3" s="44"/>
      <c r="N3" s="44"/>
      <c r="O3" s="44"/>
    </row>
    <row r="4" spans="1:15" x14ac:dyDescent="0.35">
      <c r="A4" s="45" t="s">
        <v>6</v>
      </c>
      <c r="B4" s="45"/>
      <c r="C4" s="45"/>
      <c r="D4" s="45"/>
      <c r="E4" s="45"/>
      <c r="F4" s="45"/>
      <c r="G4" s="45"/>
      <c r="H4" s="45"/>
      <c r="I4" s="45"/>
      <c r="J4" s="45"/>
      <c r="K4" s="45"/>
      <c r="L4" s="45"/>
      <c r="M4" s="45"/>
      <c r="N4" s="45"/>
      <c r="O4" s="45"/>
    </row>
    <row r="5" spans="1:15" x14ac:dyDescent="0.35">
      <c r="A5" s="45"/>
      <c r="B5" s="45"/>
      <c r="C5" s="45"/>
      <c r="D5" s="45"/>
      <c r="E5" s="45"/>
      <c r="F5" s="45"/>
      <c r="G5" s="45"/>
      <c r="H5" s="45"/>
      <c r="I5" s="45"/>
      <c r="J5" s="45"/>
      <c r="K5" s="45"/>
      <c r="L5" s="45"/>
      <c r="M5" s="45"/>
      <c r="N5" s="45"/>
      <c r="O5" s="45"/>
    </row>
    <row r="6" spans="1:15" x14ac:dyDescent="0.35">
      <c r="A6" s="43" t="s">
        <v>7</v>
      </c>
      <c r="B6" s="43"/>
      <c r="C6" s="43"/>
      <c r="D6" s="43"/>
      <c r="E6" s="43"/>
      <c r="F6" s="43"/>
      <c r="G6" s="43"/>
      <c r="H6" s="43"/>
      <c r="I6" s="43"/>
      <c r="J6" s="43"/>
      <c r="K6" s="43"/>
      <c r="L6" s="43"/>
      <c r="M6" s="43"/>
      <c r="N6" s="43"/>
      <c r="O6" s="43"/>
    </row>
    <row r="7" spans="1:15" x14ac:dyDescent="0.35">
      <c r="A7" s="43"/>
      <c r="B7" s="43"/>
      <c r="C7" s="43"/>
      <c r="D7" s="43"/>
      <c r="E7" s="43"/>
      <c r="F7" s="43"/>
      <c r="G7" s="43"/>
      <c r="H7" s="43"/>
      <c r="I7" s="43"/>
      <c r="J7" s="43"/>
      <c r="K7" s="43"/>
      <c r="L7" s="43"/>
      <c r="M7" s="43"/>
      <c r="N7" s="43"/>
      <c r="O7" s="43"/>
    </row>
    <row r="8" spans="1:15" x14ac:dyDescent="0.35">
      <c r="A8" s="43"/>
      <c r="B8" s="43"/>
      <c r="C8" s="43"/>
      <c r="D8" s="43"/>
      <c r="E8" s="43"/>
      <c r="F8" s="43"/>
      <c r="G8" s="43"/>
      <c r="H8" s="43"/>
      <c r="I8" s="43"/>
      <c r="J8" s="43"/>
      <c r="K8" s="43"/>
      <c r="L8" s="43"/>
      <c r="M8" s="43"/>
      <c r="N8" s="43"/>
      <c r="O8" s="43"/>
    </row>
    <row r="9" spans="1:15" x14ac:dyDescent="0.35">
      <c r="A9" s="43"/>
      <c r="B9" s="43"/>
      <c r="C9" s="43"/>
      <c r="D9" s="43"/>
      <c r="E9" s="43"/>
      <c r="F9" s="43"/>
      <c r="G9" s="43"/>
      <c r="H9" s="43"/>
      <c r="I9" s="43"/>
      <c r="J9" s="43"/>
      <c r="K9" s="43"/>
      <c r="L9" s="43"/>
      <c r="M9" s="43"/>
      <c r="N9" s="43"/>
      <c r="O9" s="43"/>
    </row>
    <row r="10" spans="1:15" x14ac:dyDescent="0.35">
      <c r="A10" s="43"/>
      <c r="B10" s="43"/>
      <c r="C10" s="43"/>
      <c r="D10" s="43"/>
      <c r="E10" s="43"/>
      <c r="F10" s="43"/>
      <c r="G10" s="43"/>
      <c r="H10" s="43"/>
      <c r="I10" s="43"/>
      <c r="J10" s="43"/>
      <c r="K10" s="43"/>
      <c r="L10" s="43"/>
      <c r="M10" s="43"/>
      <c r="N10" s="43"/>
      <c r="O10" s="43"/>
    </row>
    <row r="11" spans="1:15" x14ac:dyDescent="0.35">
      <c r="A11" s="46"/>
      <c r="B11" s="46"/>
      <c r="C11" s="46"/>
      <c r="D11" s="46"/>
      <c r="E11" s="46"/>
      <c r="F11" s="46"/>
      <c r="G11" s="46"/>
      <c r="H11" s="46"/>
      <c r="I11" s="46"/>
      <c r="J11" s="46"/>
      <c r="K11" s="46"/>
      <c r="L11" s="46"/>
      <c r="M11" s="46"/>
      <c r="N11" s="46"/>
      <c r="O11" s="46"/>
    </row>
    <row r="12" spans="1:15" x14ac:dyDescent="0.35">
      <c r="A12" s="46"/>
      <c r="B12" s="46"/>
      <c r="C12" s="46"/>
      <c r="D12" s="46"/>
      <c r="E12" s="46"/>
      <c r="F12" s="46"/>
      <c r="G12" s="46"/>
      <c r="H12" s="46"/>
      <c r="I12" s="46"/>
      <c r="J12" s="46"/>
      <c r="K12" s="46"/>
      <c r="L12" s="46"/>
      <c r="M12" s="46"/>
      <c r="N12" s="46"/>
      <c r="O12" s="46"/>
    </row>
    <row r="13" spans="1:15" x14ac:dyDescent="0.35">
      <c r="A13" s="46"/>
      <c r="B13" s="46"/>
      <c r="C13" s="46"/>
      <c r="D13" s="46"/>
      <c r="E13" s="46"/>
      <c r="F13" s="46"/>
      <c r="G13" s="46"/>
      <c r="H13" s="46"/>
      <c r="I13" s="46"/>
      <c r="J13" s="46"/>
      <c r="K13" s="46"/>
      <c r="L13" s="46"/>
      <c r="M13" s="46"/>
      <c r="N13" s="46"/>
      <c r="O13" s="46"/>
    </row>
    <row r="14" spans="1:15" x14ac:dyDescent="0.35">
      <c r="A14" s="46"/>
      <c r="B14" s="46"/>
      <c r="C14" s="46"/>
      <c r="D14" s="46"/>
      <c r="E14" s="46"/>
      <c r="F14" s="46"/>
      <c r="G14" s="46"/>
      <c r="H14" s="46"/>
      <c r="I14" s="46"/>
      <c r="J14" s="46"/>
      <c r="K14" s="46"/>
      <c r="L14" s="46"/>
      <c r="M14" s="46"/>
      <c r="N14" s="46"/>
      <c r="O14" s="46"/>
    </row>
    <row r="15" spans="1:15" x14ac:dyDescent="0.35">
      <c r="A15" s="46"/>
      <c r="B15" s="46"/>
      <c r="C15" s="46"/>
      <c r="D15" s="46"/>
      <c r="E15" s="46"/>
      <c r="F15" s="46"/>
      <c r="G15" s="46"/>
      <c r="H15" s="46"/>
      <c r="I15" s="46"/>
      <c r="J15" s="46"/>
      <c r="K15" s="46"/>
      <c r="L15" s="46"/>
      <c r="M15" s="46"/>
      <c r="N15" s="46"/>
      <c r="O15" s="46"/>
    </row>
    <row r="16" spans="1:15" x14ac:dyDescent="0.35">
      <c r="A16" s="46"/>
      <c r="B16" s="46"/>
      <c r="C16" s="46"/>
      <c r="D16" s="46"/>
      <c r="E16" s="46"/>
      <c r="F16" s="46"/>
      <c r="G16" s="46"/>
      <c r="H16" s="46"/>
      <c r="I16" s="46"/>
      <c r="J16" s="46"/>
      <c r="K16" s="46"/>
      <c r="L16" s="46"/>
      <c r="M16" s="46"/>
      <c r="N16" s="46"/>
      <c r="O16" s="46"/>
    </row>
    <row r="17" spans="1:15" x14ac:dyDescent="0.35">
      <c r="A17" s="46"/>
      <c r="B17" s="46"/>
      <c r="C17" s="46"/>
      <c r="D17" s="46"/>
      <c r="E17" s="46"/>
      <c r="F17" s="46"/>
      <c r="G17" s="46"/>
      <c r="H17" s="46"/>
      <c r="I17" s="46"/>
      <c r="J17" s="46"/>
      <c r="K17" s="46"/>
      <c r="L17" s="46"/>
      <c r="M17" s="46"/>
      <c r="N17" s="46"/>
      <c r="O17" s="46"/>
    </row>
    <row r="18" spans="1:15" x14ac:dyDescent="0.35">
      <c r="A18" s="46"/>
      <c r="B18" s="46"/>
      <c r="C18" s="46"/>
      <c r="D18" s="46"/>
      <c r="E18" s="46"/>
      <c r="F18" s="46"/>
      <c r="G18" s="46"/>
      <c r="H18" s="46"/>
      <c r="I18" s="46"/>
      <c r="J18" s="46"/>
      <c r="K18" s="46"/>
      <c r="L18" s="46"/>
      <c r="M18" s="46"/>
      <c r="N18" s="46"/>
      <c r="O18" s="46"/>
    </row>
  </sheetData>
  <mergeCells count="4">
    <mergeCell ref="A1:O3"/>
    <mergeCell ref="A4:O5"/>
    <mergeCell ref="A6:O10"/>
    <mergeCell ref="A11:O1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1ABB1-790A-4BB9-86DD-10AF0AE65E99}">
  <sheetPr>
    <tabColor theme="4" tint="-0.249977111117893"/>
  </sheetPr>
  <dimension ref="A2:O7"/>
  <sheetViews>
    <sheetView showGridLines="0" tabSelected="1" zoomScale="70" zoomScaleNormal="70" workbookViewId="0">
      <selection activeCell="E40" sqref="E40"/>
    </sheetView>
  </sheetViews>
  <sheetFormatPr defaultRowHeight="14.5" x14ac:dyDescent="0.35"/>
  <cols>
    <col min="1" max="1" width="15.6328125" customWidth="1"/>
    <col min="2" max="2" width="13.81640625" customWidth="1"/>
    <col min="3" max="3" width="13.08984375" customWidth="1"/>
    <col min="4" max="4" width="12.36328125" bestFit="1" customWidth="1"/>
    <col min="5" max="5" width="12.7265625" bestFit="1" customWidth="1"/>
    <col min="6" max="6" width="15.7265625" customWidth="1"/>
    <col min="7" max="7" width="10.90625" customWidth="1"/>
    <col min="8" max="8" width="15.7265625" customWidth="1"/>
    <col min="9" max="9" width="15.453125" customWidth="1"/>
    <col min="10" max="10" width="14.1796875" customWidth="1"/>
    <col min="11" max="11" width="11.90625" customWidth="1"/>
    <col min="12" max="12" width="13.36328125" customWidth="1"/>
    <col min="13" max="13" width="12" customWidth="1"/>
    <col min="14" max="14" width="14.453125" customWidth="1"/>
    <col min="15" max="15" width="23.90625" customWidth="1"/>
    <col min="18" max="18" width="13.26953125" bestFit="1" customWidth="1"/>
    <col min="19" max="19" width="12.90625" bestFit="1" customWidth="1"/>
  </cols>
  <sheetData>
    <row r="2" spans="1:15" x14ac:dyDescent="0.35">
      <c r="A2" s="13" t="s">
        <v>0</v>
      </c>
      <c r="B2" s="14"/>
      <c r="C2" s="15"/>
      <c r="D2" s="1" t="s">
        <v>2</v>
      </c>
      <c r="E2" s="2"/>
      <c r="F2" s="3"/>
      <c r="G2" s="13" t="s">
        <v>1</v>
      </c>
      <c r="H2" s="14"/>
      <c r="I2" s="15"/>
      <c r="J2" s="1" t="s">
        <v>3</v>
      </c>
      <c r="K2" s="2"/>
      <c r="L2" s="3"/>
      <c r="M2" s="13" t="s">
        <v>4</v>
      </c>
      <c r="N2" s="14"/>
      <c r="O2" s="15"/>
    </row>
    <row r="3" spans="1:15" x14ac:dyDescent="0.35">
      <c r="A3" s="16"/>
      <c r="B3" s="17"/>
      <c r="C3" s="18"/>
      <c r="D3" s="4"/>
      <c r="E3" s="5"/>
      <c r="F3" s="6"/>
      <c r="G3" s="16"/>
      <c r="H3" s="17"/>
      <c r="I3" s="18"/>
      <c r="J3" s="4"/>
      <c r="K3" s="5"/>
      <c r="L3" s="6"/>
      <c r="M3" s="16"/>
      <c r="N3" s="17"/>
      <c r="O3" s="18"/>
    </row>
    <row r="4" spans="1:15" x14ac:dyDescent="0.35">
      <c r="A4" s="19" vm="1">
        <f>CUBEVALUE("ThisWorkbookDataModel", "[Measures].[Total Revenue]")</f>
        <v>405620.44</v>
      </c>
      <c r="B4" s="20"/>
      <c r="C4" s="21"/>
      <c r="D4" s="7" vm="2">
        <f>CUBEVALUE("ThisWorkbookDataModel", "[Measures].[Total Profit]")</f>
        <v>186379.10000000009</v>
      </c>
      <c r="E4" s="8"/>
      <c r="F4" s="9"/>
      <c r="G4" s="25" vm="3">
        <f>CUBEVALUE("ThisWorkbookDataModel", "[Measures].[Total Orders]")</f>
        <v>2600</v>
      </c>
      <c r="H4" s="26"/>
      <c r="I4" s="27"/>
      <c r="J4" s="31" vm="4">
        <f>CUBEVALUE("ThisWorkbookDataModel", "[Measures].[AOV]]")</f>
        <v>156.00786153846153</v>
      </c>
      <c r="K4" s="32"/>
      <c r="L4" s="33"/>
      <c r="M4" s="37" vm="5">
        <f>CUBEVALUE("ThisWorkbookDataModel", "[Measures].[Pct of Target Achieved]")</f>
        <v>1.3624505057523517E-2</v>
      </c>
      <c r="N4" s="38"/>
      <c r="O4" s="39"/>
    </row>
    <row r="5" spans="1:15" x14ac:dyDescent="0.35">
      <c r="A5" s="19"/>
      <c r="B5" s="20"/>
      <c r="C5" s="21"/>
      <c r="D5" s="7"/>
      <c r="E5" s="8"/>
      <c r="F5" s="9"/>
      <c r="G5" s="25"/>
      <c r="H5" s="26"/>
      <c r="I5" s="27"/>
      <c r="J5" s="31"/>
      <c r="K5" s="32"/>
      <c r="L5" s="33"/>
      <c r="M5" s="37"/>
      <c r="N5" s="38"/>
      <c r="O5" s="39"/>
    </row>
    <row r="6" spans="1:15" x14ac:dyDescent="0.35">
      <c r="A6" s="19"/>
      <c r="B6" s="20"/>
      <c r="C6" s="21"/>
      <c r="D6" s="7"/>
      <c r="E6" s="8"/>
      <c r="F6" s="9"/>
      <c r="G6" s="25"/>
      <c r="H6" s="26"/>
      <c r="I6" s="27"/>
      <c r="J6" s="31"/>
      <c r="K6" s="32"/>
      <c r="L6" s="33"/>
      <c r="M6" s="37"/>
      <c r="N6" s="38"/>
      <c r="O6" s="39"/>
    </row>
    <row r="7" spans="1:15" x14ac:dyDescent="0.35">
      <c r="A7" s="22"/>
      <c r="B7" s="23"/>
      <c r="C7" s="24"/>
      <c r="D7" s="10"/>
      <c r="E7" s="11"/>
      <c r="F7" s="12"/>
      <c r="G7" s="28"/>
      <c r="H7" s="29"/>
      <c r="I7" s="30"/>
      <c r="J7" s="34"/>
      <c r="K7" s="35"/>
      <c r="L7" s="36"/>
      <c r="M7" s="40"/>
      <c r="N7" s="41"/>
      <c r="O7" s="42"/>
    </row>
  </sheetData>
  <mergeCells count="10">
    <mergeCell ref="A2:C3"/>
    <mergeCell ref="D2:F3"/>
    <mergeCell ref="G2:I3"/>
    <mergeCell ref="J2:L3"/>
    <mergeCell ref="M2:O3"/>
    <mergeCell ref="J4:L7"/>
    <mergeCell ref="M4:O7"/>
    <mergeCell ref="A4:C7"/>
    <mergeCell ref="D4:F7"/>
    <mergeCell ref="G4:I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A2EC4-FEBD-4ABB-BC64-FE3ECCAE8D7D}">
  <sheetPr>
    <tabColor theme="9" tint="-0.249977111117893"/>
  </sheetPr>
  <dimension ref="A1"/>
  <sheetViews>
    <sheetView showGridLines="0" zoomScale="70" zoomScaleNormal="70"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ECFF0E3C-617E-4C26-97CD-48A961D1A738}">
  <ds:schemaRefs/>
</ds:datastoreItem>
</file>

<file path=customXml/itemProps2.xml><?xml version="1.0" encoding="utf-8"?>
<ds:datastoreItem xmlns:ds="http://schemas.openxmlformats.org/officeDocument/2006/customXml" ds:itemID="{2D7242CC-EB5F-461E-B5DB-2F754F0497BE}">
  <ds:schemaRefs/>
</ds:datastoreItem>
</file>

<file path=customXml/itemProps3.xml><?xml version="1.0" encoding="utf-8"?>
<ds:datastoreItem xmlns:ds="http://schemas.openxmlformats.org/officeDocument/2006/customXml" ds:itemID="{0AF65D91-6537-4A0F-8D73-0670AADC5349}">
  <ds:schemaRefs/>
</ds:datastoreItem>
</file>

<file path=customXml/itemProps4.xml><?xml version="1.0" encoding="utf-8"?>
<ds:datastoreItem xmlns:ds="http://schemas.openxmlformats.org/officeDocument/2006/customXml" ds:itemID="{77F19F05-8A8A-4F9F-B559-677F25B2FA3F}">
  <ds:schemaRefs/>
</ds:datastoreItem>
</file>

<file path=customXml/itemProps5.xml><?xml version="1.0" encoding="utf-8"?>
<ds:datastoreItem xmlns:ds="http://schemas.openxmlformats.org/officeDocument/2006/customXml" ds:itemID="{BC2F5394-73D2-4136-A12B-95616DED8EEE}">
  <ds:schemaRefs/>
</ds:datastoreItem>
</file>

<file path=customXml/itemProps6.xml><?xml version="1.0" encoding="utf-8"?>
<ds:datastoreItem xmlns:ds="http://schemas.openxmlformats.org/officeDocument/2006/customXml" ds:itemID="{7207AA77-BBE3-4F9D-9003-27E5900CCAFE}">
  <ds:schemaRefs/>
</ds:datastoreItem>
</file>

<file path=customXml/itemProps7.xml><?xml version="1.0" encoding="utf-8"?>
<ds:datastoreItem xmlns:ds="http://schemas.openxmlformats.org/officeDocument/2006/customXml" ds:itemID="{23AFB143-8493-4D4E-8E02-CE9C3E8798A4}">
  <ds:schemaRefs/>
</ds:datastoreItem>
</file>

<file path=customXml/itemProps8.xml><?xml version="1.0" encoding="utf-8"?>
<ds:datastoreItem xmlns:ds="http://schemas.openxmlformats.org/officeDocument/2006/customXml" ds:itemID="{977914C3-CC19-436D-A1E4-42DC67106DC8}">
  <ds:schemaRefs/>
</ds:datastoreItem>
</file>

<file path=customXml/itemProps9.xml><?xml version="1.0" encoding="utf-8"?>
<ds:datastoreItem xmlns:ds="http://schemas.openxmlformats.org/officeDocument/2006/customXml" ds:itemID="{8C3E6204-D3EF-41C9-9945-74210A26BF8F}">
  <ds:schemaRefs/>
</ds:datastoreItem>
</file>

<file path=customXml/itemProps10.xml><?xml version="1.0" encoding="utf-8"?>
<ds:datastoreItem xmlns:ds="http://schemas.openxmlformats.org/officeDocument/2006/customXml" ds:itemID="{44AE375C-47BC-4551-BB3A-D89477CE8504}">
  <ds:schemaRefs/>
</ds:datastoreItem>
</file>

<file path=customXml/itemProps11.xml><?xml version="1.0" encoding="utf-8"?>
<ds:datastoreItem xmlns:ds="http://schemas.openxmlformats.org/officeDocument/2006/customXml" ds:itemID="{7A4B6CFE-5A2A-4608-AA14-DF203A47105F}">
  <ds:schemaRefs/>
</ds:datastoreItem>
</file>

<file path=customXml/itemProps12.xml><?xml version="1.0" encoding="utf-8"?>
<ds:datastoreItem xmlns:ds="http://schemas.openxmlformats.org/officeDocument/2006/customXml" ds:itemID="{A9B03ECE-66D5-4A0E-A42F-2BA82E827D0A}">
  <ds:schemaRefs/>
</ds:datastoreItem>
</file>

<file path=customXml/itemProps13.xml><?xml version="1.0" encoding="utf-8"?>
<ds:datastoreItem xmlns:ds="http://schemas.openxmlformats.org/officeDocument/2006/customXml" ds:itemID="{763A3AEC-C79E-400A-805A-4387C72CF736}">
  <ds:schemaRefs/>
</ds:datastoreItem>
</file>

<file path=customXml/itemProps14.xml><?xml version="1.0" encoding="utf-8"?>
<ds:datastoreItem xmlns:ds="http://schemas.openxmlformats.org/officeDocument/2006/customXml" ds:itemID="{6844FF08-53C3-4B2E-8251-46F5933E6C60}">
  <ds:schemaRefs/>
</ds:datastoreItem>
</file>

<file path=customXml/itemProps15.xml><?xml version="1.0" encoding="utf-8"?>
<ds:datastoreItem xmlns:ds="http://schemas.openxmlformats.org/officeDocument/2006/customXml" ds:itemID="{03306FA7-0D15-4030-AF78-76855BBFFB8E}">
  <ds:schemaRefs/>
</ds:datastoreItem>
</file>

<file path=customXml/itemProps16.xml><?xml version="1.0" encoding="utf-8"?>
<ds:datastoreItem xmlns:ds="http://schemas.openxmlformats.org/officeDocument/2006/customXml" ds:itemID="{A3803E2E-D9A1-4C20-AE03-689603AAAA77}">
  <ds:schemaRefs>
    <ds:schemaRef ds:uri="http://schemas.microsoft.com/DataMashup"/>
  </ds:schemaRefs>
</ds:datastoreItem>
</file>

<file path=customXml/itemProps17.xml><?xml version="1.0" encoding="utf-8"?>
<ds:datastoreItem xmlns:ds="http://schemas.openxmlformats.org/officeDocument/2006/customXml" ds:itemID="{1C3F3AB9-2CE7-4BD3-A99E-881E27ADDA8A}">
  <ds:schemaRefs/>
</ds:datastoreItem>
</file>

<file path=customXml/itemProps18.xml><?xml version="1.0" encoding="utf-8"?>
<ds:datastoreItem xmlns:ds="http://schemas.openxmlformats.org/officeDocument/2006/customXml" ds:itemID="{D509FB93-5B82-4A86-8EAC-9FB13F31EFFB}">
  <ds:schemaRefs/>
</ds:datastoreItem>
</file>

<file path=customXml/itemProps19.xml><?xml version="1.0" encoding="utf-8"?>
<ds:datastoreItem xmlns:ds="http://schemas.openxmlformats.org/officeDocument/2006/customXml" ds:itemID="{46BF2D10-47F3-4BC1-A7E6-CB27165F11BE}">
  <ds:schemaRefs/>
</ds:datastoreItem>
</file>

<file path=customXml/itemProps20.xml><?xml version="1.0" encoding="utf-8"?>
<ds:datastoreItem xmlns:ds="http://schemas.openxmlformats.org/officeDocument/2006/customXml" ds:itemID="{1C5C114C-6F09-4DFC-9025-62C9C0BB5BCA}">
  <ds:schemaRefs/>
</ds:datastoreItem>
</file>

<file path=customXml/itemProps21.xml><?xml version="1.0" encoding="utf-8"?>
<ds:datastoreItem xmlns:ds="http://schemas.openxmlformats.org/officeDocument/2006/customXml" ds:itemID="{2FD4AEE3-9345-450B-8C68-DBD34E579E44}">
  <ds:schemaRefs/>
</ds:datastoreItem>
</file>

<file path=customXml/itemProps22.xml><?xml version="1.0" encoding="utf-8"?>
<ds:datastoreItem xmlns:ds="http://schemas.openxmlformats.org/officeDocument/2006/customXml" ds:itemID="{B3BCD109-5762-4187-9F9D-1CD9D23CE3CA}">
  <ds:schemaRefs/>
</ds:datastoreItem>
</file>

<file path=customXml/itemProps23.xml><?xml version="1.0" encoding="utf-8"?>
<ds:datastoreItem xmlns:ds="http://schemas.openxmlformats.org/officeDocument/2006/customXml" ds:itemID="{B4BCDD94-A572-4964-8A99-EB978BB60881}">
  <ds:schemaRefs/>
</ds:datastoreItem>
</file>

<file path=customXml/itemProps24.xml><?xml version="1.0" encoding="utf-8"?>
<ds:datastoreItem xmlns:ds="http://schemas.openxmlformats.org/officeDocument/2006/customXml" ds:itemID="{F60DDD2C-A630-4749-AA8B-A7055818A008}">
  <ds:schemaRefs/>
</ds:datastoreItem>
</file>

<file path=customXml/itemProps25.xml><?xml version="1.0" encoding="utf-8"?>
<ds:datastoreItem xmlns:ds="http://schemas.openxmlformats.org/officeDocument/2006/customXml" ds:itemID="{97733466-DA68-4AC0-A970-606694BF62AD}">
  <ds:schemaRefs/>
</ds:datastoreItem>
</file>

<file path=customXml/itemProps26.xml><?xml version="1.0" encoding="utf-8"?>
<ds:datastoreItem xmlns:ds="http://schemas.openxmlformats.org/officeDocument/2006/customXml" ds:itemID="{9E2D124F-0EFE-4514-8615-4AAB89100B17}">
  <ds:schemaRefs/>
</ds:datastoreItem>
</file>

<file path=customXml/itemProps27.xml><?xml version="1.0" encoding="utf-8"?>
<ds:datastoreItem xmlns:ds="http://schemas.openxmlformats.org/officeDocument/2006/customXml" ds:itemID="{46392133-5E18-4EE5-A27C-60ECAABE7493}">
  <ds:schemaRefs/>
</ds:datastoreItem>
</file>

<file path=customXml/itemProps28.xml><?xml version="1.0" encoding="utf-8"?>
<ds:datastoreItem xmlns:ds="http://schemas.openxmlformats.org/officeDocument/2006/customXml" ds:itemID="{03B76D21-B53B-4259-952A-47471E325585}">
  <ds:schemaRefs/>
</ds:datastoreItem>
</file>

<file path=customXml/itemProps29.xml><?xml version="1.0" encoding="utf-8"?>
<ds:datastoreItem xmlns:ds="http://schemas.openxmlformats.org/officeDocument/2006/customXml" ds:itemID="{D6797610-7257-4732-AB49-F1BAAA4246C7}">
  <ds:schemaRefs/>
</ds:datastoreItem>
</file>

<file path=customXml/itemProps30.xml><?xml version="1.0" encoding="utf-8"?>
<ds:datastoreItem xmlns:ds="http://schemas.openxmlformats.org/officeDocument/2006/customXml" ds:itemID="{E3955D15-2998-4596-806D-BFED611B937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Home</vt:lpstr>
      <vt:lpstr>Overview</vt:lpstr>
      <vt:lpstr>Deep Dive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 Tripathi</dc:creator>
  <cp:lastModifiedBy>Nikhil Tripathi</cp:lastModifiedBy>
  <dcterms:created xsi:type="dcterms:W3CDTF">2026-06-20T14:17:47Z</dcterms:created>
  <dcterms:modified xsi:type="dcterms:W3CDTF">2026-06-21T04:35:34Z</dcterms:modified>
</cp:coreProperties>
</file>